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miltonotiniano/Dropbox/@Data_Science/_DSRP/PE_ADP_2020/BD/"/>
    </mc:Choice>
  </mc:AlternateContent>
  <xr:revisionPtr revIDLastSave="0" documentId="13_ncr:1_{8977000B-AE96-FD41-8DB1-4B6836E747C3}" xr6:coauthVersionLast="45" xr6:coauthVersionMax="45" xr10:uidLastSave="{00000000-0000-0000-0000-000000000000}"/>
  <bookViews>
    <workbookView xWindow="2640" yWindow="1780" windowWidth="24620" windowHeight="14440" tabRatio="598" xr2:uid="{00000000-000D-0000-FFFF-FFFF00000000}"/>
  </bookViews>
  <sheets>
    <sheet name="BD" sheetId="6" r:id="rId1"/>
    <sheet name="EN CASO ERROR" sheetId="5" state="hidden" r:id="rId2"/>
    <sheet name="CONTROL DE VOLQUETES" sheetId="4" state="hidden" r:id="rId3"/>
    <sheet name="SEMANA FECHAS" sheetId="3" state="hidden" r:id="rId4"/>
  </sheets>
  <externalReferences>
    <externalReference r:id="rId5"/>
    <externalReference r:id="rId6"/>
  </externalReferences>
  <definedNames>
    <definedName name="_xlnm._FilterDatabase" localSheetId="0" hidden="1">BD!$A$3:$I$469</definedName>
    <definedName name="ano">[1]Listas!$AM$2:$AM$7</definedName>
    <definedName name="codigo">'[2]NO TOCAR 1'!$A$2:$A$58</definedName>
    <definedName name="equipo">'[2]NO TOCAR 1'!$D$2:$D$5</definedName>
    <definedName name="equipos">[1]Listas!$G$2:$G$11</definedName>
    <definedName name="guardia">'[2]NO TOCAR 1'!$F$2:$F$3</definedName>
    <definedName name="jefe">'[2]NO TOCAR 1'!$H$2:$H$11</definedName>
    <definedName name="jguardia">[1]Listas!$S$2:$S$11</definedName>
    <definedName name="LABOR" localSheetId="3">'[2]NO TOCAR 1'!#REF!</definedName>
    <definedName name="LABOR">'[2]NO TOCAR 1'!#REF!</definedName>
    <definedName name="LABORES" localSheetId="3">'[2]NO TOCAR 1'!#REF!</definedName>
    <definedName name="LABORES">'[2]NO TOCAR 1'!#REF!</definedName>
    <definedName name="mes">[1]Listas!$AA$2:$AA$13</definedName>
    <definedName name="OBSE">'[2]NO TOCAR 1'!$O$2:$O$417</definedName>
    <definedName name="operadores">'[2]NO TOCAR 1'!$J$2:$J$138</definedName>
    <definedName name="PARADA">'[2]NO TOCAR 1'!$O$2:$O$76</definedName>
    <definedName name="PARADAS">[1]Listas!$AK$3:$AK$79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55" i="6" l="1"/>
  <c r="E284" i="6"/>
  <c r="E285" i="6"/>
  <c r="E291" i="6"/>
  <c r="E299" i="6"/>
  <c r="E324" i="6"/>
  <c r="E375" i="6"/>
  <c r="E267" i="6"/>
  <c r="E261" i="6"/>
  <c r="E254" i="6"/>
  <c r="E252" i="6"/>
  <c r="E251" i="6"/>
  <c r="E246" i="6"/>
  <c r="E245" i="6"/>
  <c r="E240" i="6"/>
  <c r="E238" i="6"/>
  <c r="E237" i="6"/>
  <c r="E232" i="6"/>
  <c r="E228" i="6"/>
  <c r="E226" i="6"/>
  <c r="E225" i="6"/>
  <c r="E216" i="6"/>
  <c r="E206" i="6"/>
  <c r="E196" i="6"/>
  <c r="E153" i="6"/>
  <c r="E154" i="6"/>
  <c r="E141" i="6"/>
  <c r="E138" i="6"/>
  <c r="E42" i="6"/>
  <c r="E41" i="6"/>
  <c r="E35" i="6"/>
  <c r="E18" i="6"/>
  <c r="E17" i="6"/>
  <c r="E16" i="6"/>
  <c r="E10" i="6"/>
  <c r="E15" i="6"/>
  <c r="E24" i="6"/>
  <c r="E29" i="6"/>
  <c r="E5" i="6"/>
  <c r="E6" i="6"/>
  <c r="E7" i="6"/>
  <c r="E8" i="6"/>
  <c r="E9" i="6"/>
  <c r="E11" i="6"/>
  <c r="E12" i="6"/>
  <c r="E13" i="6"/>
  <c r="E14" i="6"/>
  <c r="E19" i="6"/>
  <c r="E20" i="6"/>
  <c r="E21" i="6"/>
  <c r="E22" i="6"/>
  <c r="E23" i="6"/>
  <c r="E25" i="6"/>
  <c r="E26" i="6"/>
  <c r="E27" i="6"/>
  <c r="E28" i="6"/>
  <c r="E30" i="6"/>
  <c r="E31" i="6"/>
  <c r="E32" i="6"/>
  <c r="E33" i="6"/>
  <c r="E34" i="6"/>
  <c r="E36" i="6"/>
  <c r="E37" i="6"/>
  <c r="E38" i="6"/>
  <c r="E39" i="6"/>
  <c r="E40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9" i="6"/>
  <c r="E140" i="6"/>
  <c r="E142" i="6"/>
  <c r="E143" i="6"/>
  <c r="E144" i="6"/>
  <c r="E145" i="6"/>
  <c r="E146" i="6"/>
  <c r="E147" i="6"/>
  <c r="E148" i="6"/>
  <c r="E149" i="6"/>
  <c r="E150" i="6"/>
  <c r="E151" i="6"/>
  <c r="E152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7" i="6"/>
  <c r="E198" i="6"/>
  <c r="E199" i="6"/>
  <c r="E200" i="6"/>
  <c r="E201" i="6"/>
  <c r="E202" i="6"/>
  <c r="E203" i="6"/>
  <c r="E204" i="6"/>
  <c r="E205" i="6"/>
  <c r="E207" i="6"/>
  <c r="E208" i="6"/>
  <c r="E209" i="6"/>
  <c r="E210" i="6"/>
  <c r="E211" i="6"/>
  <c r="E212" i="6"/>
  <c r="E213" i="6"/>
  <c r="E214" i="6"/>
  <c r="E215" i="6"/>
  <c r="E217" i="6"/>
  <c r="E218" i="6"/>
  <c r="E219" i="6"/>
  <c r="E220" i="6"/>
  <c r="E221" i="6"/>
  <c r="E222" i="6"/>
  <c r="E223" i="6"/>
  <c r="E224" i="6"/>
  <c r="E227" i="6"/>
  <c r="E229" i="6"/>
  <c r="E230" i="6"/>
  <c r="E231" i="6"/>
  <c r="E233" i="6"/>
  <c r="E234" i="6"/>
  <c r="E235" i="6"/>
  <c r="E236" i="6"/>
  <c r="E239" i="6"/>
  <c r="E241" i="6"/>
  <c r="E242" i="6"/>
  <c r="E243" i="6"/>
  <c r="E244" i="6"/>
  <c r="E247" i="6"/>
  <c r="E248" i="6"/>
  <c r="E249" i="6"/>
  <c r="E250" i="6"/>
  <c r="E253" i="6"/>
  <c r="E256" i="6"/>
  <c r="E257" i="6"/>
  <c r="E258" i="6"/>
  <c r="E259" i="6"/>
  <c r="E260" i="6"/>
  <c r="E262" i="6"/>
  <c r="E263" i="6"/>
  <c r="E264" i="6"/>
  <c r="E265" i="6"/>
  <c r="E266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6" i="6"/>
  <c r="E287" i="6"/>
  <c r="E288" i="6"/>
  <c r="E289" i="6"/>
  <c r="E290" i="6"/>
  <c r="E292" i="6"/>
  <c r="E293" i="6"/>
  <c r="E294" i="6"/>
  <c r="E295" i="6"/>
  <c r="E296" i="6"/>
  <c r="E297" i="6"/>
  <c r="E298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" i="6"/>
  <c r="F140" i="6" l="1"/>
  <c r="F325" i="6"/>
  <c r="F421" i="6"/>
  <c r="F401" i="6"/>
  <c r="F385" i="6"/>
  <c r="F420" i="6"/>
  <c r="F408" i="6"/>
  <c r="F396" i="6"/>
  <c r="F384" i="6"/>
  <c r="F376" i="6"/>
  <c r="F364" i="6"/>
  <c r="F348" i="6"/>
  <c r="F340" i="6"/>
  <c r="F328" i="6"/>
  <c r="F316" i="6"/>
  <c r="F300" i="6"/>
  <c r="F288" i="6"/>
  <c r="F276" i="6"/>
  <c r="F264" i="6"/>
  <c r="F252" i="6"/>
  <c r="F240" i="6"/>
  <c r="F228" i="6"/>
  <c r="F216" i="6"/>
  <c r="F204" i="6"/>
  <c r="F192" i="6"/>
  <c r="F180" i="6"/>
  <c r="F168" i="6"/>
  <c r="F128" i="6"/>
  <c r="F116" i="6"/>
  <c r="F104" i="6"/>
  <c r="F96" i="6"/>
  <c r="F84" i="6"/>
  <c r="F72" i="6"/>
  <c r="F60" i="6"/>
  <c r="F48" i="6"/>
  <c r="F36" i="6"/>
  <c r="F24" i="6"/>
  <c r="F12" i="6"/>
  <c r="F423" i="6"/>
  <c r="F415" i="6"/>
  <c r="F407" i="6"/>
  <c r="F399" i="6"/>
  <c r="F391" i="6"/>
  <c r="F383" i="6"/>
  <c r="F375" i="6"/>
  <c r="F367" i="6"/>
  <c r="F359" i="6"/>
  <c r="F351" i="6"/>
  <c r="F343" i="6"/>
  <c r="F335" i="6"/>
  <c r="F327" i="6"/>
  <c r="F319" i="6"/>
  <c r="F311" i="6"/>
  <c r="F303" i="6"/>
  <c r="F299" i="6"/>
  <c r="F291" i="6"/>
  <c r="F287" i="6"/>
  <c r="F283" i="6"/>
  <c r="F279" i="6"/>
  <c r="F275" i="6"/>
  <c r="F271" i="6"/>
  <c r="F267" i="6"/>
  <c r="F263" i="6"/>
  <c r="F259" i="6"/>
  <c r="F255" i="6"/>
  <c r="F251" i="6"/>
  <c r="F247" i="6"/>
  <c r="F243" i="6"/>
  <c r="F239" i="6"/>
  <c r="F235" i="6"/>
  <c r="F231" i="6"/>
  <c r="F227" i="6"/>
  <c r="F223" i="6"/>
  <c r="F219" i="6"/>
  <c r="F215" i="6"/>
  <c r="F211" i="6"/>
  <c r="F207" i="6"/>
  <c r="F203" i="6"/>
  <c r="F199" i="6"/>
  <c r="F195" i="6"/>
  <c r="F191" i="6"/>
  <c r="F187" i="6"/>
  <c r="F183" i="6"/>
  <c r="F179" i="6"/>
  <c r="F175" i="6"/>
  <c r="F171" i="6"/>
  <c r="F167" i="6"/>
  <c r="F163" i="6"/>
  <c r="F159" i="6"/>
  <c r="F155" i="6"/>
  <c r="F151" i="6"/>
  <c r="F147" i="6"/>
  <c r="F143" i="6"/>
  <c r="F139" i="6"/>
  <c r="F135" i="6"/>
  <c r="F131" i="6"/>
  <c r="F127" i="6"/>
  <c r="F123" i="6"/>
  <c r="F119" i="6"/>
  <c r="F115" i="6"/>
  <c r="F111" i="6"/>
  <c r="F107" i="6"/>
  <c r="F103" i="6"/>
  <c r="F99" i="6"/>
  <c r="F95" i="6"/>
  <c r="F91" i="6"/>
  <c r="F87" i="6"/>
  <c r="F83" i="6"/>
  <c r="F79" i="6"/>
  <c r="F75" i="6"/>
  <c r="F71" i="6"/>
  <c r="F67" i="6"/>
  <c r="F63" i="6"/>
  <c r="F59" i="6"/>
  <c r="F55" i="6"/>
  <c r="F51" i="6"/>
  <c r="F47" i="6"/>
  <c r="F43" i="6"/>
  <c r="F39" i="6"/>
  <c r="F35" i="6"/>
  <c r="F31" i="6"/>
  <c r="F27" i="6"/>
  <c r="F23" i="6"/>
  <c r="F19" i="6"/>
  <c r="F15" i="6"/>
  <c r="F11" i="6"/>
  <c r="F7" i="6"/>
  <c r="F413" i="6"/>
  <c r="F397" i="6"/>
  <c r="F4" i="6"/>
  <c r="F416" i="6"/>
  <c r="F404" i="6"/>
  <c r="F392" i="6"/>
  <c r="F380" i="6"/>
  <c r="F368" i="6"/>
  <c r="F356" i="6"/>
  <c r="F344" i="6"/>
  <c r="F332" i="6"/>
  <c r="F320" i="6"/>
  <c r="F308" i="6"/>
  <c r="F296" i="6"/>
  <c r="F284" i="6"/>
  <c r="F272" i="6"/>
  <c r="F260" i="6"/>
  <c r="F248" i="6"/>
  <c r="F236" i="6"/>
  <c r="F224" i="6"/>
  <c r="F212" i="6"/>
  <c r="F200" i="6"/>
  <c r="F188" i="6"/>
  <c r="F176" i="6"/>
  <c r="F164" i="6"/>
  <c r="F156" i="6"/>
  <c r="F148" i="6"/>
  <c r="F136" i="6"/>
  <c r="F124" i="6"/>
  <c r="F112" i="6"/>
  <c r="F92" i="6"/>
  <c r="F80" i="6"/>
  <c r="F68" i="6"/>
  <c r="F56" i="6"/>
  <c r="F44" i="6"/>
  <c r="F32" i="6"/>
  <c r="F20" i="6"/>
  <c r="F8" i="6"/>
  <c r="F427" i="6"/>
  <c r="F419" i="6"/>
  <c r="F411" i="6"/>
  <c r="F403" i="6"/>
  <c r="F395" i="6"/>
  <c r="F387" i="6"/>
  <c r="F379" i="6"/>
  <c r="F371" i="6"/>
  <c r="F363" i="6"/>
  <c r="F355" i="6"/>
  <c r="F347" i="6"/>
  <c r="F339" i="6"/>
  <c r="F331" i="6"/>
  <c r="F323" i="6"/>
  <c r="F315" i="6"/>
  <c r="F307" i="6"/>
  <c r="F295" i="6"/>
  <c r="F426" i="6"/>
  <c r="F422" i="6"/>
  <c r="F418" i="6"/>
  <c r="F414" i="6"/>
  <c r="F410" i="6"/>
  <c r="F406" i="6"/>
  <c r="F402" i="6"/>
  <c r="F398" i="6"/>
  <c r="F394" i="6"/>
  <c r="F390" i="6"/>
  <c r="F386" i="6"/>
  <c r="F382" i="6"/>
  <c r="F378" i="6"/>
  <c r="F374" i="6"/>
  <c r="F370" i="6"/>
  <c r="F366" i="6"/>
  <c r="F362" i="6"/>
  <c r="F358" i="6"/>
  <c r="F354" i="6"/>
  <c r="F350" i="6"/>
  <c r="F346" i="6"/>
  <c r="F342" i="6"/>
  <c r="F338" i="6"/>
  <c r="F334" i="6"/>
  <c r="F330" i="6"/>
  <c r="F326" i="6"/>
  <c r="F322" i="6"/>
  <c r="F318" i="6"/>
  <c r="F314" i="6"/>
  <c r="F310" i="6"/>
  <c r="F306" i="6"/>
  <c r="F302" i="6"/>
  <c r="F298" i="6"/>
  <c r="F294" i="6"/>
  <c r="F290" i="6"/>
  <c r="F286" i="6"/>
  <c r="F282" i="6"/>
  <c r="F278" i="6"/>
  <c r="F274" i="6"/>
  <c r="F270" i="6"/>
  <c r="F266" i="6"/>
  <c r="F262" i="6"/>
  <c r="F258" i="6"/>
  <c r="F254" i="6"/>
  <c r="F250" i="6"/>
  <c r="F246" i="6"/>
  <c r="F242" i="6"/>
  <c r="F238" i="6"/>
  <c r="F234" i="6"/>
  <c r="F230" i="6"/>
  <c r="F226" i="6"/>
  <c r="F222" i="6"/>
  <c r="F218" i="6"/>
  <c r="F214" i="6"/>
  <c r="F210" i="6"/>
  <c r="F206" i="6"/>
  <c r="F202" i="6"/>
  <c r="F198" i="6"/>
  <c r="F194" i="6"/>
  <c r="F190" i="6"/>
  <c r="F186" i="6"/>
  <c r="F182" i="6"/>
  <c r="F178" i="6"/>
  <c r="F174" i="6"/>
  <c r="F170" i="6"/>
  <c r="F166" i="6"/>
  <c r="F162" i="6"/>
  <c r="F158" i="6"/>
  <c r="F154" i="6"/>
  <c r="F150" i="6"/>
  <c r="F146" i="6"/>
  <c r="F142" i="6"/>
  <c r="F138" i="6"/>
  <c r="F134" i="6"/>
  <c r="F130" i="6"/>
  <c r="F126" i="6"/>
  <c r="F122" i="6"/>
  <c r="F118" i="6"/>
  <c r="F114" i="6"/>
  <c r="F110" i="6"/>
  <c r="F106" i="6"/>
  <c r="F102" i="6"/>
  <c r="F98" i="6"/>
  <c r="F94" i="6"/>
  <c r="F90" i="6"/>
  <c r="F86" i="6"/>
  <c r="F82" i="6"/>
  <c r="F78" i="6"/>
  <c r="F74" i="6"/>
  <c r="F70" i="6"/>
  <c r="F66" i="6"/>
  <c r="F62" i="6"/>
  <c r="F58" i="6"/>
  <c r="F54" i="6"/>
  <c r="F50" i="6"/>
  <c r="F46" i="6"/>
  <c r="F42" i="6"/>
  <c r="F38" i="6"/>
  <c r="F34" i="6"/>
  <c r="F30" i="6"/>
  <c r="F26" i="6"/>
  <c r="F22" i="6"/>
  <c r="F18" i="6"/>
  <c r="F14" i="6"/>
  <c r="F10" i="6"/>
  <c r="F6" i="6"/>
  <c r="F425" i="6"/>
  <c r="F409" i="6"/>
  <c r="F393" i="6"/>
  <c r="F381" i="6"/>
  <c r="F377" i="6"/>
  <c r="F373" i="6"/>
  <c r="F369" i="6"/>
  <c r="F365" i="6"/>
  <c r="F361" i="6"/>
  <c r="F357" i="6"/>
  <c r="F353" i="6"/>
  <c r="F349" i="6"/>
  <c r="F345" i="6"/>
  <c r="F341" i="6"/>
  <c r="F337" i="6"/>
  <c r="F333" i="6"/>
  <c r="F329" i="6"/>
  <c r="F321" i="6"/>
  <c r="F317" i="6"/>
  <c r="F313" i="6"/>
  <c r="F309" i="6"/>
  <c r="F305" i="6"/>
  <c r="F301" i="6"/>
  <c r="F297" i="6"/>
  <c r="F293" i="6"/>
  <c r="F289" i="6"/>
  <c r="F285" i="6"/>
  <c r="F281" i="6"/>
  <c r="F277" i="6"/>
  <c r="F273" i="6"/>
  <c r="F269" i="6"/>
  <c r="F265" i="6"/>
  <c r="F261" i="6"/>
  <c r="F257" i="6"/>
  <c r="F253" i="6"/>
  <c r="F249" i="6"/>
  <c r="F245" i="6"/>
  <c r="F241" i="6"/>
  <c r="F237" i="6"/>
  <c r="F233" i="6"/>
  <c r="F229" i="6"/>
  <c r="F225" i="6"/>
  <c r="F221" i="6"/>
  <c r="F217" i="6"/>
  <c r="F213" i="6"/>
  <c r="F209" i="6"/>
  <c r="F205" i="6"/>
  <c r="F201" i="6"/>
  <c r="F197" i="6"/>
  <c r="F193" i="6"/>
  <c r="F189" i="6"/>
  <c r="F185" i="6"/>
  <c r="F181" i="6"/>
  <c r="F177" i="6"/>
  <c r="F173" i="6"/>
  <c r="F169" i="6"/>
  <c r="F165" i="6"/>
  <c r="F161" i="6"/>
  <c r="F157" i="6"/>
  <c r="F153" i="6"/>
  <c r="F149" i="6"/>
  <c r="F145" i="6"/>
  <c r="F141" i="6"/>
  <c r="F137" i="6"/>
  <c r="F133" i="6"/>
  <c r="F129" i="6"/>
  <c r="F125" i="6"/>
  <c r="F121" i="6"/>
  <c r="F117" i="6"/>
  <c r="F113" i="6"/>
  <c r="F109" i="6"/>
  <c r="F105" i="6"/>
  <c r="F101" i="6"/>
  <c r="F97" i="6"/>
  <c r="F93" i="6"/>
  <c r="F89" i="6"/>
  <c r="F85" i="6"/>
  <c r="F81" i="6"/>
  <c r="F77" i="6"/>
  <c r="F73" i="6"/>
  <c r="F69" i="6"/>
  <c r="F65" i="6"/>
  <c r="F61" i="6"/>
  <c r="F57" i="6"/>
  <c r="F53" i="6"/>
  <c r="F49" i="6"/>
  <c r="F45" i="6"/>
  <c r="F41" i="6"/>
  <c r="F37" i="6"/>
  <c r="F33" i="6"/>
  <c r="F29" i="6"/>
  <c r="F25" i="6"/>
  <c r="F21" i="6"/>
  <c r="F17" i="6"/>
  <c r="F13" i="6"/>
  <c r="F9" i="6"/>
  <c r="F5" i="6"/>
  <c r="F417" i="6"/>
  <c r="F405" i="6"/>
  <c r="F389" i="6"/>
  <c r="F424" i="6"/>
  <c r="F412" i="6"/>
  <c r="F400" i="6"/>
  <c r="F388" i="6"/>
  <c r="F372" i="6"/>
  <c r="F360" i="6"/>
  <c r="F352" i="6"/>
  <c r="F336" i="6"/>
  <c r="F324" i="6"/>
  <c r="F312" i="6"/>
  <c r="F304" i="6"/>
  <c r="F292" i="6"/>
  <c r="F280" i="6"/>
  <c r="F268" i="6"/>
  <c r="F256" i="6"/>
  <c r="F244" i="6"/>
  <c r="F232" i="6"/>
  <c r="F220" i="6"/>
  <c r="F208" i="6"/>
  <c r="F196" i="6"/>
  <c r="F184" i="6"/>
  <c r="F172" i="6"/>
  <c r="F160" i="6"/>
  <c r="F152" i="6"/>
  <c r="F144" i="6"/>
  <c r="F132" i="6"/>
  <c r="F120" i="6"/>
  <c r="F108" i="6"/>
  <c r="F100" i="6"/>
  <c r="F88" i="6"/>
  <c r="F76" i="6"/>
  <c r="F64" i="6"/>
  <c r="F52" i="6"/>
  <c r="F40" i="6"/>
  <c r="F28" i="6"/>
  <c r="F16" i="6"/>
  <c r="D31" i="3" l="1"/>
  <c r="C32" i="3" s="1"/>
  <c r="C31" i="3"/>
  <c r="F31" i="3" s="1"/>
  <c r="G31" i="3" s="1"/>
  <c r="C30" i="3"/>
  <c r="F30" i="3" s="1"/>
  <c r="G30" i="3" s="1"/>
  <c r="G27" i="3"/>
  <c r="F27" i="3"/>
  <c r="D27" i="3"/>
  <c r="C28" i="3" s="1"/>
  <c r="C27" i="3"/>
  <c r="G26" i="3"/>
  <c r="F26" i="3"/>
  <c r="C26" i="3"/>
  <c r="D22" i="3"/>
  <c r="C23" i="3" s="1"/>
  <c r="C22" i="3"/>
  <c r="F22" i="3" s="1"/>
  <c r="G22" i="3" s="1"/>
  <c r="C21" i="3"/>
  <c r="G18" i="3"/>
  <c r="F18" i="3"/>
  <c r="D18" i="3"/>
  <c r="C19" i="3" s="1"/>
  <c r="C18" i="3"/>
  <c r="G17" i="3"/>
  <c r="F17" i="3"/>
  <c r="D16" i="3"/>
  <c r="C16" i="3" s="1"/>
  <c r="D12" i="3"/>
  <c r="C12" i="3"/>
  <c r="F12" i="3" s="1"/>
  <c r="G12" i="3" s="1"/>
  <c r="D23" i="3" l="1"/>
  <c r="C24" i="3" s="1"/>
  <c r="F28" i="3"/>
  <c r="G28" i="3" s="1"/>
  <c r="D28" i="3"/>
  <c r="C29" i="3" s="1"/>
  <c r="F29" i="3" s="1"/>
  <c r="G29" i="3" s="1"/>
  <c r="J49" i="3"/>
  <c r="D32" i="3"/>
  <c r="C33" i="3" s="1"/>
  <c r="F32" i="3"/>
  <c r="G32" i="3" s="1"/>
  <c r="D15" i="3"/>
  <c r="C15" i="3" s="1"/>
  <c r="F16" i="3"/>
  <c r="G16" i="3" s="1"/>
  <c r="D19" i="3"/>
  <c r="C20" i="3" s="1"/>
  <c r="F20" i="3" s="1"/>
  <c r="G20" i="3" s="1"/>
  <c r="D11" i="3"/>
  <c r="C11" i="3" s="1"/>
  <c r="F21" i="3"/>
  <c r="G21" i="3" s="1"/>
  <c r="F11" i="3" l="1"/>
  <c r="G11" i="3" s="1"/>
  <c r="D10" i="3"/>
  <c r="C10" i="3" s="1"/>
  <c r="D14" i="3"/>
  <c r="C14" i="3" s="1"/>
  <c r="F15" i="3"/>
  <c r="G15" i="3" s="1"/>
  <c r="F19" i="3"/>
  <c r="G19" i="3" s="1"/>
  <c r="D33" i="3"/>
  <c r="C34" i="3" s="1"/>
  <c r="F23" i="3"/>
  <c r="G23" i="3" s="1"/>
  <c r="D24" i="3"/>
  <c r="C25" i="3" s="1"/>
  <c r="F25" i="3" s="1"/>
  <c r="G25" i="3" s="1"/>
  <c r="F33" i="3" l="1"/>
  <c r="G33" i="3" s="1"/>
  <c r="D13" i="3"/>
  <c r="F13" i="3" s="1"/>
  <c r="G13" i="3" s="1"/>
  <c r="F14" i="3"/>
  <c r="G14" i="3" s="1"/>
  <c r="F24" i="3"/>
  <c r="G24" i="3" s="1"/>
  <c r="D34" i="3"/>
  <c r="C35" i="3" s="1"/>
  <c r="F10" i="3"/>
  <c r="G10" i="3" s="1"/>
  <c r="D9" i="3"/>
  <c r="C9" i="3" s="1"/>
  <c r="F9" i="3" l="1"/>
  <c r="G9" i="3" s="1"/>
  <c r="D8" i="3"/>
  <c r="C8" i="3" s="1"/>
  <c r="F34" i="3"/>
  <c r="G34" i="3" s="1"/>
  <c r="D35" i="3"/>
  <c r="C36" i="3" s="1"/>
  <c r="F35" i="3"/>
  <c r="G35" i="3" s="1"/>
  <c r="D36" i="3" l="1"/>
  <c r="C37" i="3" s="1"/>
  <c r="F36" i="3"/>
  <c r="G36" i="3" s="1"/>
  <c r="F8" i="3"/>
  <c r="G8" i="3" s="1"/>
  <c r="D7" i="3"/>
  <c r="C7" i="3" s="1"/>
  <c r="F7" i="3" l="1"/>
  <c r="G7" i="3" s="1"/>
  <c r="D6" i="3"/>
  <c r="C6" i="3" s="1"/>
  <c r="D37" i="3"/>
  <c r="C38" i="3" s="1"/>
  <c r="F37" i="3" l="1"/>
  <c r="G37" i="3" s="1"/>
  <c r="D38" i="3"/>
  <c r="C39" i="3" s="1"/>
  <c r="F6" i="3"/>
  <c r="G6" i="3" s="1"/>
  <c r="D5" i="3"/>
  <c r="C5" i="3" s="1"/>
  <c r="F38" i="3" l="1"/>
  <c r="G38" i="3" s="1"/>
  <c r="D39" i="3"/>
  <c r="C40" i="3" s="1"/>
  <c r="F5" i="3"/>
  <c r="G5" i="3" s="1"/>
  <c r="D4" i="3"/>
  <c r="C4" i="3" s="1"/>
  <c r="F39" i="3" l="1"/>
  <c r="G39" i="3" s="1"/>
  <c r="D40" i="3"/>
  <c r="C41" i="3" s="1"/>
  <c r="F4" i="3"/>
  <c r="G4" i="3" s="1"/>
  <c r="D3" i="3"/>
  <c r="C3" i="3" s="1"/>
  <c r="F3" i="3" s="1"/>
  <c r="G3" i="3" s="1"/>
  <c r="F40" i="3" l="1"/>
  <c r="G40" i="3" s="1"/>
  <c r="D41" i="3"/>
  <c r="C42" i="3" s="1"/>
  <c r="F41" i="3"/>
  <c r="G41" i="3" s="1"/>
  <c r="D42" i="3" l="1"/>
  <c r="C43" i="3" s="1"/>
  <c r="F42" i="3" l="1"/>
  <c r="G42" i="3" s="1"/>
  <c r="D43" i="3"/>
  <c r="C44" i="3" s="1"/>
  <c r="F43" i="3" l="1"/>
  <c r="G43" i="3" s="1"/>
  <c r="D44" i="3"/>
  <c r="C45" i="3" s="1"/>
  <c r="F44" i="3"/>
  <c r="G44" i="3" s="1"/>
  <c r="D45" i="3" l="1"/>
  <c r="C46" i="3" s="1"/>
  <c r="F45" i="3" l="1"/>
  <c r="G45" i="3" s="1"/>
  <c r="D46" i="3"/>
  <c r="C47" i="3" s="1"/>
  <c r="F46" i="3" l="1"/>
  <c r="G46" i="3" s="1"/>
  <c r="D47" i="3"/>
  <c r="C48" i="3" s="1"/>
  <c r="F47" i="3"/>
  <c r="G47" i="3" s="1"/>
  <c r="D48" i="3" l="1"/>
  <c r="C49" i="3" s="1"/>
  <c r="F48" i="3"/>
  <c r="G48" i="3" s="1"/>
  <c r="D49" i="3" l="1"/>
  <c r="C50" i="3" s="1"/>
  <c r="F49" i="3"/>
  <c r="G49" i="3" s="1"/>
  <c r="D50" i="3" l="1"/>
  <c r="C51" i="3" s="1"/>
  <c r="D51" i="3" l="1"/>
  <c r="C52" i="3" s="1"/>
  <c r="F50" i="3"/>
  <c r="G50" i="3" s="1"/>
  <c r="D52" i="3" l="1"/>
  <c r="C53" i="3" s="1"/>
  <c r="F51" i="3"/>
  <c r="G51" i="3" s="1"/>
  <c r="D53" i="3" l="1"/>
  <c r="C54" i="3" s="1"/>
  <c r="F52" i="3"/>
  <c r="G52" i="3" s="1"/>
  <c r="F54" i="3" l="1"/>
  <c r="G54" i="3" s="1"/>
  <c r="D54" i="3"/>
  <c r="C55" i="3" s="1"/>
  <c r="F53" i="3"/>
  <c r="G53" i="3" s="1"/>
  <c r="D55" i="3" l="1"/>
  <c r="C56" i="3" s="1"/>
  <c r="D56" i="3" l="1"/>
  <c r="C57" i="3" s="1"/>
  <c r="F55" i="3"/>
  <c r="G55" i="3" s="1"/>
  <c r="D57" i="3" l="1"/>
  <c r="C58" i="3" s="1"/>
  <c r="F56" i="3"/>
  <c r="G56" i="3" s="1"/>
  <c r="D58" i="3" l="1"/>
  <c r="C59" i="3" s="1"/>
  <c r="F57" i="3"/>
  <c r="G57" i="3" s="1"/>
  <c r="F59" i="3" l="1"/>
  <c r="G59" i="3" s="1"/>
  <c r="D59" i="3"/>
  <c r="C60" i="3" s="1"/>
  <c r="F58" i="3"/>
  <c r="G58" i="3" s="1"/>
  <c r="D60" i="3" l="1"/>
  <c r="C61" i="3" s="1"/>
  <c r="D61" i="3" l="1"/>
  <c r="C62" i="3" s="1"/>
  <c r="F60" i="3"/>
  <c r="G60" i="3" s="1"/>
  <c r="D62" i="3" l="1"/>
  <c r="C63" i="3" s="1"/>
  <c r="F61" i="3"/>
  <c r="G61" i="3" s="1"/>
  <c r="D63" i="3" l="1"/>
  <c r="C64" i="3" s="1"/>
  <c r="F62" i="3"/>
  <c r="G62" i="3" s="1"/>
  <c r="F64" i="3" l="1"/>
  <c r="G64" i="3" s="1"/>
  <c r="D64" i="3"/>
  <c r="C65" i="3" s="1"/>
  <c r="F63" i="3"/>
  <c r="G63" i="3" s="1"/>
  <c r="F65" i="3" l="1"/>
  <c r="G65" i="3" s="1"/>
  <c r="D65" i="3"/>
  <c r="C66" i="3" s="1"/>
  <c r="D66" i="3" l="1"/>
  <c r="C67" i="3" s="1"/>
  <c r="D67" i="3" l="1"/>
  <c r="C68" i="3" s="1"/>
  <c r="F66" i="3"/>
  <c r="G66" i="3" s="1"/>
  <c r="D68" i="3" l="1"/>
  <c r="C69" i="3" s="1"/>
  <c r="F67" i="3"/>
  <c r="G67" i="3" s="1"/>
  <c r="F69" i="3" l="1"/>
  <c r="G69" i="3" s="1"/>
  <c r="D69" i="3"/>
  <c r="C70" i="3" s="1"/>
  <c r="F68" i="3"/>
  <c r="G68" i="3" s="1"/>
  <c r="F70" i="3" l="1"/>
  <c r="G70" i="3" s="1"/>
  <c r="D70" i="3"/>
  <c r="C71" i="3" s="1"/>
  <c r="D71" i="3" l="1"/>
  <c r="C72" i="3" s="1"/>
  <c r="F72" i="3" l="1"/>
  <c r="G72" i="3" s="1"/>
  <c r="D72" i="3"/>
  <c r="C73" i="3" s="1"/>
  <c r="F71" i="3"/>
  <c r="G71" i="3" s="1"/>
  <c r="D73" i="3" l="1"/>
  <c r="C74" i="3" s="1"/>
  <c r="F74" i="3" l="1"/>
  <c r="G74" i="3" s="1"/>
  <c r="D74" i="3"/>
  <c r="C75" i="3" s="1"/>
  <c r="F73" i="3"/>
  <c r="G73" i="3" s="1"/>
  <c r="D75" i="3" l="1"/>
  <c r="C76" i="3" s="1"/>
  <c r="D76" i="3" l="1"/>
  <c r="C77" i="3" s="1"/>
  <c r="F75" i="3"/>
  <c r="G75" i="3" s="1"/>
  <c r="D77" i="3" l="1"/>
  <c r="F77" i="3" s="1"/>
  <c r="G77" i="3" s="1"/>
  <c r="F76" i="3"/>
  <c r="G76" i="3" s="1"/>
</calcChain>
</file>

<file path=xl/sharedStrings.xml><?xml version="1.0" encoding="utf-8"?>
<sst xmlns="http://schemas.openxmlformats.org/spreadsheetml/2006/main" count="1008" uniqueCount="196">
  <si>
    <t xml:space="preserve">FECHA </t>
  </si>
  <si>
    <t>TURNO</t>
  </si>
  <si>
    <t>NIVEL</t>
  </si>
  <si>
    <t>TAJO</t>
  </si>
  <si>
    <t>A</t>
  </si>
  <si>
    <t>B</t>
  </si>
  <si>
    <t>S2-NOV</t>
  </si>
  <si>
    <t>S1-NOV</t>
  </si>
  <si>
    <t>S3-NOV</t>
  </si>
  <si>
    <t>S4-NOV</t>
  </si>
  <si>
    <t>S1-DIC</t>
  </si>
  <si>
    <t>S2-DIC</t>
  </si>
  <si>
    <t>S3-DIC</t>
  </si>
  <si>
    <t>S4-DIC</t>
  </si>
  <si>
    <t>S5-DIC</t>
  </si>
  <si>
    <t>S1-OCT</t>
  </si>
  <si>
    <t>S2-OCT</t>
  </si>
  <si>
    <t>S3-OCT</t>
  </si>
  <si>
    <t>S4-OCT</t>
  </si>
  <si>
    <t>S5-SET</t>
  </si>
  <si>
    <t>S4-SET</t>
  </si>
  <si>
    <t>S3-SET</t>
  </si>
  <si>
    <t>S2-SET</t>
  </si>
  <si>
    <t>S1-SET</t>
  </si>
  <si>
    <t>S1-ENE</t>
  </si>
  <si>
    <t>S2-ENE</t>
  </si>
  <si>
    <t>S3-ENE</t>
  </si>
  <si>
    <t>S4-ENE</t>
  </si>
  <si>
    <t>S1-FEB</t>
  </si>
  <si>
    <t>S2-FEB</t>
  </si>
  <si>
    <t>S3-FEB</t>
  </si>
  <si>
    <t>S4-FEB</t>
  </si>
  <si>
    <t>S1-MAR</t>
  </si>
  <si>
    <t>S2-MAR</t>
  </si>
  <si>
    <t>S3-MAR</t>
  </si>
  <si>
    <t>S4-MAR</t>
  </si>
  <si>
    <t>S1-ABR</t>
  </si>
  <si>
    <t>S2-ABRI</t>
  </si>
  <si>
    <t>S3-ABRI</t>
  </si>
  <si>
    <t>S4-ABRI</t>
  </si>
  <si>
    <t>INICIO SEMANA</t>
  </si>
  <si>
    <t>FIN SEMANA</t>
  </si>
  <si>
    <t>S1-AGO</t>
  </si>
  <si>
    <t>S2-AGO</t>
  </si>
  <si>
    <t>S3-AGO</t>
  </si>
  <si>
    <t>S4-AGO</t>
  </si>
  <si>
    <t>S1-MAY</t>
  </si>
  <si>
    <t>S2-MAY</t>
  </si>
  <si>
    <t>S3-MAY</t>
  </si>
  <si>
    <t>S4-MAY</t>
  </si>
  <si>
    <t>S1-JUN</t>
  </si>
  <si>
    <t>S2-JUN</t>
  </si>
  <si>
    <t>S3-JUN</t>
  </si>
  <si>
    <t>S4-JUN</t>
  </si>
  <si>
    <t>S5-JUN</t>
  </si>
  <si>
    <t>S1-JUL</t>
  </si>
  <si>
    <t>S2-JUL</t>
  </si>
  <si>
    <t>S3-JUL</t>
  </si>
  <si>
    <t>S4-JUL</t>
  </si>
  <si>
    <t>S5-AGO</t>
  </si>
  <si>
    <t>S5-NOV</t>
  </si>
  <si>
    <t>AGOSTO</t>
  </si>
  <si>
    <t>SETIEMBRE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</si>
  <si>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</si>
  <si>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</si>
  <si>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</si>
  <si>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</si>
  <si>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</si>
  <si>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</si>
  <si>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</si>
  <si>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</si>
  <si>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</si>
  <si>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</si>
  <si>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BLENDING</t>
  </si>
  <si>
    <t>REALIZADO</t>
  </si>
  <si>
    <t>\\10.30.17.193\planeamiento\03.BLENDING\[BLENDING-GEOLOGIA.xlsx]BLENDING'!$B$2:$Q$23781</t>
  </si>
  <si>
    <t>T-001F_1620_OB1</t>
  </si>
  <si>
    <t>T-831D_1880_OB6A</t>
  </si>
  <si>
    <t>T-005D_1680_OB5B</t>
  </si>
  <si>
    <t>T-941A_1640_OB1</t>
  </si>
  <si>
    <t>T-041G_1600_OB1</t>
  </si>
  <si>
    <t>T-730_1600_OB6</t>
  </si>
  <si>
    <t>Ga-982SW-1910-OB6A</t>
  </si>
  <si>
    <t>T-016B_1710_OB5C</t>
  </si>
  <si>
    <t>Cx-690NW-1910-OB6A</t>
  </si>
  <si>
    <t>Cx-711SW-1910-OB6A</t>
  </si>
  <si>
    <t>Cx-701NE-1910-OB6A</t>
  </si>
  <si>
    <t>Cx-520SW-1850-OB9</t>
  </si>
  <si>
    <t>Ga-963NW-1650-OB1</t>
  </si>
  <si>
    <t>Cx-1013NW-1910-OB13</t>
  </si>
  <si>
    <t>Cx-540_1850_OB9</t>
  </si>
  <si>
    <t>Cx-022_1680_OB5B</t>
  </si>
  <si>
    <t>T-761D_1910_OB6A</t>
  </si>
  <si>
    <t>Cx-1013_1910_OB13</t>
  </si>
  <si>
    <t>Ga-984_1940_OB6A</t>
  </si>
  <si>
    <t>Ga-760_1640_OB6</t>
  </si>
  <si>
    <t>Cx-705_1640_OB6 N Y S</t>
  </si>
  <si>
    <t>Cx-680_1640_OB6</t>
  </si>
  <si>
    <t>T-881B_1910_OB6A</t>
  </si>
  <si>
    <t>Ga-963_1650_OB1</t>
  </si>
  <si>
    <t>Ga-080_1850_OB9</t>
  </si>
  <si>
    <t>Ga-760 N y S_1640_OB6</t>
  </si>
  <si>
    <t>Cx-705_1640_OB6</t>
  </si>
  <si>
    <t>T-801D_1880_OB6A</t>
  </si>
  <si>
    <t>Cx-900_1820_OB2</t>
  </si>
  <si>
    <t>Ga-760_1650_OB6</t>
  </si>
  <si>
    <t>Ga-080+540_1850_OB9</t>
  </si>
  <si>
    <t>Cx705+725_1650_OB6</t>
  </si>
  <si>
    <t>Cx705_1640_OB6</t>
  </si>
  <si>
    <t>Cx-725_1650_OB6</t>
  </si>
  <si>
    <t>Ga.880NW_1620_OB1</t>
  </si>
  <si>
    <t>T-001_1600_OB1</t>
  </si>
  <si>
    <t>GA-080_1620_OB1</t>
  </si>
  <si>
    <t>Ga-900_1620_OB1</t>
  </si>
  <si>
    <t>T-811B_1910_OB6A</t>
  </si>
  <si>
    <t>Ga-101_1880_OB6B</t>
  </si>
  <si>
    <t>Ga_975_OB5_1800</t>
  </si>
  <si>
    <t>BP-105_OB5_1800</t>
  </si>
  <si>
    <t>T-001A_1600_OB1</t>
  </si>
  <si>
    <t>Bp-955_1880_OB2B</t>
  </si>
  <si>
    <t>Cx-975_1800_OB5</t>
  </si>
  <si>
    <t>Cx-725_1580_OB6</t>
  </si>
  <si>
    <t>Ga_325SE_1880_OB2B</t>
  </si>
  <si>
    <t>Ga_975NW_1800_OB5</t>
  </si>
  <si>
    <t>Cx-1013_1910_OB6A</t>
  </si>
  <si>
    <t>Cx-325_1880_OB2B</t>
  </si>
  <si>
    <t>T-029A_1650_OB2</t>
  </si>
  <si>
    <t>Ga-963N_1650_OB1</t>
  </si>
  <si>
    <t>Ga-963S_1650_OB1</t>
  </si>
  <si>
    <t>BP-105_1800_OB5</t>
  </si>
  <si>
    <t>Ga-080_1620_OB1</t>
  </si>
  <si>
    <t>Cx-019_1740_OB5</t>
  </si>
  <si>
    <t>Cx-320_1880_OB2B</t>
  </si>
  <si>
    <t>T-875_1680_OB2</t>
  </si>
  <si>
    <t>Bp745_1650_OB5</t>
  </si>
  <si>
    <t>Cx-019_1740_OB5C</t>
  </si>
  <si>
    <t>T-761-OB6A-1910</t>
  </si>
  <si>
    <t>T-013_1640_OB5B</t>
  </si>
  <si>
    <t>Cx-082_1550_OB1</t>
  </si>
  <si>
    <t>T-041A_1620_OB1</t>
  </si>
  <si>
    <t>Cx_725_OB6_1580</t>
  </si>
  <si>
    <t>Cx_022_OB5B_1680</t>
  </si>
  <si>
    <t>Ga_569-1680-OB6</t>
  </si>
  <si>
    <t>T-013_1640_OB6</t>
  </si>
  <si>
    <t>Cx_082-1550-OB1</t>
  </si>
  <si>
    <t>Cx_022-1680-OB5B</t>
  </si>
  <si>
    <t>Cx_010-1580-OB1</t>
  </si>
  <si>
    <t>Ga_034-1910-OB6A</t>
  </si>
  <si>
    <t>Cx_009*500-1640-OB5</t>
  </si>
  <si>
    <t>Cx-022_1680_OB5</t>
  </si>
  <si>
    <t>Ga_569_1680_OB6</t>
  </si>
  <si>
    <t>Cx-300_OB2B_1800</t>
  </si>
  <si>
    <t>T008_1710_OB5B</t>
  </si>
  <si>
    <t>Cx-725_OB6_1580</t>
  </si>
  <si>
    <t>T-200_1770_OB2B</t>
  </si>
  <si>
    <t>T-761-1910_OB6A</t>
  </si>
  <si>
    <t>T-200_1790_OB2B</t>
  </si>
  <si>
    <t>Cx-781_1940_OB6A</t>
  </si>
  <si>
    <t>T-008_1710_OB5B</t>
  </si>
  <si>
    <t>Bp-105_1640_OB5</t>
  </si>
  <si>
    <t>T-200*255_1790_OB2B</t>
  </si>
  <si>
    <t>Ga-034_1910_OB6A</t>
  </si>
  <si>
    <t>Cx300_1800_OB2B</t>
  </si>
  <si>
    <t>Cx_050_1620_OB1</t>
  </si>
  <si>
    <t>Bp_105_1640_OB5</t>
  </si>
  <si>
    <t>T-360B_1880_OB2B</t>
  </si>
  <si>
    <t>Cx-791_1910_OB6</t>
  </si>
  <si>
    <t>T-008_1650_OB5</t>
  </si>
  <si>
    <t>Bp105_1640_OB6</t>
  </si>
  <si>
    <t>T-140_1880_OB2B</t>
  </si>
  <si>
    <t>Cx-300_1800_OB2B</t>
  </si>
  <si>
    <t>Bp-105_1640_OB6</t>
  </si>
  <si>
    <t>T-013_1640_OB5</t>
  </si>
  <si>
    <t>T-008*007_1710_OB5B</t>
  </si>
  <si>
    <t>Cx_725_1580_OB6</t>
  </si>
  <si>
    <t>Cx-791_1910_OB6A</t>
  </si>
  <si>
    <t>Cx-711_1910_OB6A</t>
  </si>
  <si>
    <t>T-841_1910_OB6A</t>
  </si>
  <si>
    <t>Ga-984_1910_OB6A</t>
  </si>
  <si>
    <t>Cx-741_1910_OB6A</t>
  </si>
  <si>
    <t>Bp-131_1650_OB2</t>
  </si>
  <si>
    <t>Ga-620_1680_OB5B</t>
  </si>
  <si>
    <t>Cx-022_1680_OB2</t>
  </si>
  <si>
    <t>T-841A_1910_OB6A</t>
  </si>
  <si>
    <t>T-027D_1880_OB2</t>
  </si>
  <si>
    <t>Cx_082_1550_OB1</t>
  </si>
  <si>
    <t>Cx-851_1820_OB6A</t>
  </si>
  <si>
    <t>T-861D_1910_OB6A</t>
  </si>
  <si>
    <t>Ga-002_1820_OB6A</t>
  </si>
  <si>
    <t>T-705C_1640_OB6</t>
  </si>
  <si>
    <t>Cx-003_1680_OB5</t>
  </si>
  <si>
    <t>Bp980_1600_OB6</t>
  </si>
  <si>
    <t>Ga-870_1650_OB6</t>
  </si>
  <si>
    <t>%CUMP</t>
  </si>
  <si>
    <t>BODY</t>
  </si>
  <si>
    <t>BODY_NIVEL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</si>
</sst>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/mm/yyyy;@"/>
    <numFmt numFmtId="172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 tint="4.9989318521683403E-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4" tint="0.39997558519241921"/>
      </bottom>
      <diagonal/>
    </border>
  </borders>
  <cellStyleXfs count="4">
    <xf numFmtId="0" fontId="0" fillId="0" borderId="0"/>
    <xf numFmtId="0" fontId="1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/>
    <xf numFmtId="164" fontId="0" fillId="3" borderId="1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Alignment="1">
      <alignment horizontal="center" vertical="center"/>
    </xf>
    <xf numFmtId="0" fontId="0" fillId="2" borderId="0" xfId="0" applyFill="1"/>
    <xf numFmtId="164" fontId="0" fillId="4" borderId="1" xfId="0" applyNumberFormat="1" applyFont="1" applyFill="1" applyBorder="1" applyAlignment="1">
      <alignment horizontal="center" vertical="center"/>
    </xf>
    <xf numFmtId="0" fontId="0" fillId="0" borderId="0" xfId="0" quotePrefix="1"/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4" fontId="0" fillId="0" borderId="0" xfId="0" applyNumberFormat="1"/>
    <xf numFmtId="9" fontId="0" fillId="0" borderId="0" xfId="2" applyFont="1"/>
    <xf numFmtId="9" fontId="0" fillId="0" borderId="0" xfId="0" applyNumberFormat="1"/>
    <xf numFmtId="172" fontId="0" fillId="0" borderId="0" xfId="3" applyNumberFormat="1" applyFont="1"/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</cellXfs>
  <cellStyles count="4">
    <cellStyle name="Comma" xfId="3" builtinId="3"/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30.17.193/Departamentos/ope_mina/F1.%20Producci&#243;n%20Mina/F4.%20Control%20DM%20-%20UT%20Equipos%20Mina/5.%202014/Equipos/2.%20Taladros%20Largos%20V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30.17.193/Users/fredyc/Desktop/Copia%20de%20REPORTE%20SALA%20DE%20CONTROL%20MINA%20%2013-08-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icas"/>
      <sheetName val="DATA"/>
      <sheetName val="Listas"/>
      <sheetName val="Productividad"/>
      <sheetName val="PRODUCTIVIDAD FINAL"/>
      <sheetName val="Productividad (2)"/>
      <sheetName val="emedina"/>
      <sheetName val="Auxiliar"/>
      <sheetName val="METROS PERFORADOS POR SEMANA"/>
      <sheetName val="Hoja2 (2)"/>
      <sheetName val="M. Perf"/>
      <sheetName val="Productividad por Operador"/>
      <sheetName val="PARETTO"/>
      <sheetName val="PARETTO (3)"/>
      <sheetName val="PARETTO (2)"/>
      <sheetName val="Corroborar Datos"/>
      <sheetName val="Metros Perforados"/>
      <sheetName val="NO TOCAR 1"/>
    </sheetNames>
    <sheetDataSet>
      <sheetData sheetId="0" refreshError="1"/>
      <sheetData sheetId="1" refreshError="1"/>
      <sheetData sheetId="2">
        <row r="2">
          <cell r="G2" t="str">
            <v>SIMBA 1</v>
          </cell>
          <cell r="S2" t="str">
            <v>H.VILCHEZ</v>
          </cell>
          <cell r="AA2" t="str">
            <v>Enero</v>
          </cell>
          <cell r="AM2">
            <v>2013</v>
          </cell>
        </row>
        <row r="3">
          <cell r="G3" t="str">
            <v>SIMBA 2</v>
          </cell>
          <cell r="S3" t="str">
            <v>J. MUÑOZ</v>
          </cell>
          <cell r="AA3" t="str">
            <v>Febrero</v>
          </cell>
          <cell r="AK3" t="str">
            <v>Acumuladores</v>
          </cell>
          <cell r="AM3">
            <v>2014</v>
          </cell>
        </row>
        <row r="4">
          <cell r="G4" t="str">
            <v>SIMBA 3</v>
          </cell>
          <cell r="S4" t="str">
            <v>M.VILCHEZ L.</v>
          </cell>
          <cell r="AA4" t="str">
            <v>Marzo</v>
          </cell>
          <cell r="AK4" t="str">
            <v>Ajustar Perno de la Gamarrilla</v>
          </cell>
          <cell r="AM4">
            <v>2015</v>
          </cell>
        </row>
        <row r="5">
          <cell r="G5" t="str">
            <v>SIMBA 4</v>
          </cell>
          <cell r="S5" t="str">
            <v>G.BARBOZA</v>
          </cell>
          <cell r="AA5" t="str">
            <v>Abril</v>
          </cell>
          <cell r="AK5" t="str">
            <v>Ajuste de pernos</v>
          </cell>
          <cell r="AM5">
            <v>2016</v>
          </cell>
        </row>
        <row r="6">
          <cell r="G6" t="str">
            <v>SIMBA ITH 5</v>
          </cell>
          <cell r="S6" t="str">
            <v>R.ESCALANTE</v>
          </cell>
          <cell r="AA6" t="str">
            <v>Mayo</v>
          </cell>
          <cell r="AK6" t="str">
            <v>Ampliación de Cable Eléctrico</v>
          </cell>
          <cell r="AM6">
            <v>2017</v>
          </cell>
        </row>
        <row r="7">
          <cell r="G7" t="str">
            <v>SIMBA ITH 6</v>
          </cell>
          <cell r="S7" t="str">
            <v>D. GONZALES</v>
          </cell>
          <cell r="AA7" t="str">
            <v>Junio</v>
          </cell>
          <cell r="AK7" t="str">
            <v>Bomba Booster</v>
          </cell>
          <cell r="AM7">
            <v>2018</v>
          </cell>
        </row>
        <row r="8">
          <cell r="G8" t="str">
            <v>RAPTOR 55 N°4</v>
          </cell>
          <cell r="S8" t="str">
            <v>J. MANRIQUE</v>
          </cell>
          <cell r="AA8" t="str">
            <v>Julio</v>
          </cell>
          <cell r="AK8" t="str">
            <v>Bomba hidráulica</v>
          </cell>
        </row>
        <row r="9">
          <cell r="G9" t="str">
            <v>TODOS</v>
          </cell>
          <cell r="AA9" t="str">
            <v>Agosto</v>
          </cell>
          <cell r="AK9" t="str">
            <v xml:space="preserve">Bombeo de agua en la Labor </v>
          </cell>
        </row>
        <row r="10">
          <cell r="G10" t="str">
            <v>RAPTOR 44 N°5</v>
          </cell>
          <cell r="AA10" t="str">
            <v>Septiembre</v>
          </cell>
          <cell r="AK10" t="str">
            <v>Brazos descentrados del carrusel</v>
          </cell>
        </row>
        <row r="11">
          <cell r="G11" t="str">
            <v>RAPTOR 44 N°6</v>
          </cell>
          <cell r="AA11" t="str">
            <v>Octubre</v>
          </cell>
          <cell r="AK11" t="str">
            <v xml:space="preserve">Cabio de Cable de Perforación </v>
          </cell>
        </row>
        <row r="12">
          <cell r="AA12" t="str">
            <v>Noviembre</v>
          </cell>
          <cell r="AK12" t="str">
            <v>Cable Control Remoto</v>
          </cell>
        </row>
        <row r="13">
          <cell r="AA13" t="str">
            <v>Diciembre</v>
          </cell>
          <cell r="AK13" t="str">
            <v xml:space="preserve">Cable del Telemando </v>
          </cell>
        </row>
        <row r="14">
          <cell r="AK14" t="str">
            <v>Cable Sensor de Basculacion</v>
          </cell>
        </row>
        <row r="15">
          <cell r="AK15" t="str">
            <v>Caida de Tensión</v>
          </cell>
        </row>
        <row r="16">
          <cell r="AK16" t="str">
            <v>Caja Modulos</v>
          </cell>
        </row>
        <row r="17">
          <cell r="AK17" t="str">
            <v xml:space="preserve">Calibración de Bracitos </v>
          </cell>
        </row>
        <row r="18">
          <cell r="AK18" t="str">
            <v xml:space="preserve">Cambio Cilindro </v>
          </cell>
        </row>
        <row r="19">
          <cell r="AK19" t="str">
            <v>Cambio Cilindro de Indexacion</v>
          </cell>
        </row>
        <row r="20">
          <cell r="AK20" t="str">
            <v>Cambio de Acumuladores de Alta y Baja</v>
          </cell>
        </row>
        <row r="21">
          <cell r="AK21" t="str">
            <v xml:space="preserve">Cambio de Alternador </v>
          </cell>
        </row>
        <row r="22">
          <cell r="AK22" t="str">
            <v>Cambio de Cop</v>
          </cell>
        </row>
        <row r="23">
          <cell r="AK23" t="str">
            <v xml:space="preserve">Cambio de Llanta </v>
          </cell>
        </row>
        <row r="24">
          <cell r="AK24" t="str">
            <v>Cambio de manguera</v>
          </cell>
        </row>
        <row r="25">
          <cell r="AK25" t="str">
            <v>Cambio de Pin</v>
          </cell>
        </row>
        <row r="26">
          <cell r="AK26" t="str">
            <v xml:space="preserve">Cambio de Repuesto </v>
          </cell>
        </row>
        <row r="27">
          <cell r="AK27" t="str">
            <v xml:space="preserve">Cambio de Reten  </v>
          </cell>
        </row>
        <row r="28">
          <cell r="AK28" t="str">
            <v xml:space="preserve">Cambio de reten de Bomba Hidraulica </v>
          </cell>
        </row>
        <row r="29">
          <cell r="AK29" t="str">
            <v xml:space="preserve">Cambio de Sellos de Agua  </v>
          </cell>
        </row>
        <row r="30">
          <cell r="AK30" t="str">
            <v>Cambio de Shank</v>
          </cell>
        </row>
        <row r="31">
          <cell r="AK31" t="str">
            <v xml:space="preserve">Cambio de Slide bar de la Viga </v>
          </cell>
        </row>
        <row r="32">
          <cell r="AK32" t="str">
            <v xml:space="preserve">Cambio de Valvula </v>
          </cell>
        </row>
        <row r="33">
          <cell r="AK33" t="str">
            <v>Cambio pastilla de los brazos del carrusel</v>
          </cell>
        </row>
        <row r="34">
          <cell r="AK34" t="str">
            <v xml:space="preserve">Cambio Perno de la Perforadora </v>
          </cell>
        </row>
        <row r="35">
          <cell r="AK35" t="str">
            <v xml:space="preserve">Compresor </v>
          </cell>
        </row>
        <row r="36">
          <cell r="AK36" t="str">
            <v>Contaminación de Aceite Hidraulico</v>
          </cell>
        </row>
        <row r="37">
          <cell r="AK37" t="str">
            <v>Contaminación de Martillo Sandvik</v>
          </cell>
        </row>
        <row r="38">
          <cell r="AK38" t="str">
            <v>Corte de Energía</v>
          </cell>
        </row>
        <row r="39">
          <cell r="AK39" t="str">
            <v xml:space="preserve">Eje de los  Bracitos </v>
          </cell>
        </row>
        <row r="40">
          <cell r="AK40" t="str">
            <v>Enfriador Hidraulico</v>
          </cell>
        </row>
        <row r="41">
          <cell r="AK41" t="str">
            <v>Engrase</v>
          </cell>
        </row>
        <row r="42">
          <cell r="AK42" t="str">
            <v xml:space="preserve">Estandarización de Mangueras </v>
          </cell>
        </row>
        <row r="43">
          <cell r="AK43" t="str">
            <v xml:space="preserve">Extracción de pernos </v>
          </cell>
        </row>
        <row r="44">
          <cell r="AK44" t="str">
            <v>Falla Electrica</v>
          </cell>
        </row>
        <row r="45">
          <cell r="AK45" t="str">
            <v xml:space="preserve">Falla Electrovalvula de Avance de Perforadora </v>
          </cell>
        </row>
        <row r="46">
          <cell r="AK46" t="str">
            <v>Falla mariposa de ventilador (Enfriador de aire)</v>
          </cell>
        </row>
        <row r="47">
          <cell r="AK47" t="str">
            <v xml:space="preserve">Fallas Selector de Agua </v>
          </cell>
        </row>
        <row r="48">
          <cell r="AK48" t="str">
            <v xml:space="preserve">Falta de  Electrica en la Labor </v>
          </cell>
        </row>
        <row r="49">
          <cell r="AK49" t="str">
            <v>Falta de Aceite Hidraulico</v>
          </cell>
        </row>
        <row r="50">
          <cell r="AK50" t="str">
            <v>Falta de Aceite Lubricacion</v>
          </cell>
        </row>
        <row r="51">
          <cell r="AK51" t="str">
            <v xml:space="preserve">Falta de Personal </v>
          </cell>
        </row>
        <row r="52">
          <cell r="AK52" t="str">
            <v xml:space="preserve">Falta Energía Compresor </v>
          </cell>
        </row>
        <row r="53">
          <cell r="AK53" t="str">
            <v>Falta Halogeno</v>
          </cell>
        </row>
        <row r="54">
          <cell r="AK54" t="str">
            <v xml:space="preserve">Flores Crispin </v>
          </cell>
        </row>
        <row r="55">
          <cell r="AK55" t="str">
            <v>Fuga de aceite</v>
          </cell>
        </row>
        <row r="56">
          <cell r="AK56" t="str">
            <v xml:space="preserve">Fuga de Aceite por Cilindro de Mordaza </v>
          </cell>
        </row>
        <row r="57">
          <cell r="AK57" t="str">
            <v>Instalación del Compresor</v>
          </cell>
        </row>
        <row r="58">
          <cell r="AK58" t="str">
            <v>Instalación Eléctrica</v>
          </cell>
        </row>
        <row r="59">
          <cell r="AK59" t="str">
            <v xml:space="preserve">Limpieza de Electroválvulas </v>
          </cell>
        </row>
        <row r="60">
          <cell r="AK60" t="str">
            <v xml:space="preserve">Mesa Perforadora </v>
          </cell>
        </row>
        <row r="61">
          <cell r="AK61" t="str">
            <v>Motor de Avance de la Perforadora</v>
          </cell>
        </row>
        <row r="62">
          <cell r="AK62" t="str">
            <v>Motor Diesel</v>
          </cell>
        </row>
        <row r="63">
          <cell r="AK63" t="str">
            <v>Motor Hidraulico</v>
          </cell>
        </row>
        <row r="64">
          <cell r="AK64" t="str">
            <v>Operador en capacitación</v>
          </cell>
        </row>
        <row r="65">
          <cell r="AK65" t="str">
            <v>parametros de posicionamiento</v>
          </cell>
        </row>
        <row r="66">
          <cell r="AK66" t="str">
            <v>parametros de posicionamiento</v>
          </cell>
        </row>
        <row r="67">
          <cell r="AK67" t="str">
            <v xml:space="preserve">Perforadora </v>
          </cell>
        </row>
        <row r="68">
          <cell r="AK68" t="str">
            <v xml:space="preserve">Preparación de Labor </v>
          </cell>
        </row>
        <row r="69">
          <cell r="AK69" t="str">
            <v>Presión Damping</v>
          </cell>
        </row>
        <row r="70">
          <cell r="AK70" t="str">
            <v>Presion de Amortiguacion Fuera de Limite</v>
          </cell>
        </row>
        <row r="71">
          <cell r="AK71" t="str">
            <v>Problemas con Cilindro de Avance</v>
          </cell>
        </row>
        <row r="72">
          <cell r="AK72" t="str">
            <v>Problemas con el Booster</v>
          </cell>
        </row>
        <row r="73">
          <cell r="AK73" t="str">
            <v>Problemas con el protector de la manguera</v>
          </cell>
        </row>
        <row r="74">
          <cell r="AK74" t="str">
            <v>Problemas con Electrovalvulas</v>
          </cell>
        </row>
        <row r="75">
          <cell r="AK75" t="str">
            <v>Problemas con Mordaza</v>
          </cell>
        </row>
        <row r="76">
          <cell r="AK76" t="str">
            <v xml:space="preserve">Problemas de Carrucel </v>
          </cell>
        </row>
        <row r="77">
          <cell r="AK77" t="str">
            <v>Problemas en el Sistema Eléctrico</v>
          </cell>
        </row>
        <row r="78">
          <cell r="AK78" t="str">
            <v xml:space="preserve">Recalentamiento de Equipo </v>
          </cell>
        </row>
        <row r="79">
          <cell r="AK79" t="str">
            <v>Recalentamiento de la bomba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ACTUALIZAR"/>
      <sheetName val="GUARDIA &quot;A&quot;"/>
      <sheetName val="GUARDIA &quot;B&quot;"/>
      <sheetName val="PARETTO"/>
      <sheetName val="COURIER - MOLINO"/>
      <sheetName val="Chancado Primario (A)"/>
      <sheetName val="Chancado primario (B)"/>
      <sheetName val="INVENTARIO DE LAMPARAS (2)"/>
      <sheetName val="DATA HOROMETRO"/>
      <sheetName val="LISTADO"/>
      <sheetName val="Hoja3"/>
      <sheetName val="DE"/>
      <sheetName val="PARADA DE EQUIPOS"/>
      <sheetName val="TELEF.EMERGENCIA"/>
      <sheetName val="RADIOS"/>
      <sheetName val="NO TOCAR 1"/>
      <sheetName val="NO TOCAR 2"/>
      <sheetName val="CANALES DE RADIO"/>
      <sheetName val="AUTORESCATADORES"/>
      <sheetName val="INVENTARIO DE AUTORESCATA"/>
      <sheetName val="INVENTARIO DE LAMPARAS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72">
          <cell r="F72" t="str">
            <v>TM/HR</v>
          </cell>
        </row>
      </sheetData>
      <sheetData sheetId="13"/>
      <sheetData sheetId="14"/>
      <sheetData sheetId="15"/>
      <sheetData sheetId="16">
        <row r="2">
          <cell r="A2">
            <v>101</v>
          </cell>
          <cell r="D2" t="str">
            <v>Chancado Primario</v>
          </cell>
          <cell r="F2" t="str">
            <v>DIA</v>
          </cell>
          <cell r="H2" t="str">
            <v>R.ESCALANTE /  G. ALMEDIDA DE ASIS</v>
          </cell>
          <cell r="J2" t="str">
            <v>LUIS CASTRO</v>
          </cell>
          <cell r="O2" t="str">
            <v xml:space="preserve"> Mantenimiento Programado de la chancadora y  Liberacion de  la faja N° 03</v>
          </cell>
        </row>
        <row r="3">
          <cell r="A3">
            <v>201</v>
          </cell>
          <cell r="D3" t="str">
            <v>Relleno en Pasta</v>
          </cell>
          <cell r="F3" t="str">
            <v>NOCHE</v>
          </cell>
          <cell r="H3" t="str">
            <v xml:space="preserve">DAVID GUTIERREZ / AMERICO HUILCA </v>
          </cell>
          <cell r="J3" t="str">
            <v>JUAN ORE</v>
          </cell>
          <cell r="O3" t="str">
            <v>Abastecimiento de Aceite de Lubricacion para Grizzly</v>
          </cell>
        </row>
        <row r="4">
          <cell r="A4">
            <v>202</v>
          </cell>
          <cell r="H4" t="str">
            <v>D.GONZALEZ  / JORGE POMA</v>
          </cell>
          <cell r="J4" t="str">
            <v>NICANOR CALCINA</v>
          </cell>
          <cell r="O4" t="str">
            <v>Acceso Bloqueado OB6 y OB7 - Reparacion Cable Media Tension Nv 1820 (x chongito)</v>
          </cell>
        </row>
        <row r="5">
          <cell r="A5">
            <v>203</v>
          </cell>
          <cell r="H5">
            <v>0</v>
          </cell>
          <cell r="J5" t="str">
            <v xml:space="preserve"> FREDY CUSI</v>
          </cell>
          <cell r="O5" t="str">
            <v>Activación de  Sensor  de la faja N° 05, y Sobrecarga de Motor la Faja N° 02</v>
          </cell>
        </row>
        <row r="6">
          <cell r="A6">
            <v>204</v>
          </cell>
          <cell r="H6">
            <v>0</v>
          </cell>
          <cell r="J6">
            <v>0</v>
          </cell>
          <cell r="O6" t="str">
            <v>Activación de Pullcord de la faja Mobil</v>
          </cell>
        </row>
        <row r="7">
          <cell r="A7">
            <v>205</v>
          </cell>
          <cell r="J7">
            <v>0</v>
          </cell>
          <cell r="O7" t="str">
            <v>Activacion de Pullcord de la faja Mobil</v>
          </cell>
        </row>
        <row r="8">
          <cell r="A8">
            <v>206</v>
          </cell>
          <cell r="J8">
            <v>0</v>
          </cell>
          <cell r="O8" t="str">
            <v>Activación de Pullcord de la faja N° 01</v>
          </cell>
        </row>
        <row r="9">
          <cell r="A9">
            <v>301</v>
          </cell>
          <cell r="J9">
            <v>0</v>
          </cell>
          <cell r="O9" t="str">
            <v>Activación de Pullcord de la faja N° 02</v>
          </cell>
        </row>
        <row r="10">
          <cell r="A10">
            <v>302</v>
          </cell>
          <cell r="J10">
            <v>0</v>
          </cell>
          <cell r="O10" t="str">
            <v xml:space="preserve">Activación de Pullcord de la faja N° 03 / Falso Arranque de la Faja N° 01 </v>
          </cell>
        </row>
        <row r="11">
          <cell r="A11">
            <v>302</v>
          </cell>
          <cell r="J11">
            <v>0</v>
          </cell>
          <cell r="O11" t="str">
            <v>Activación de Pullcord de la faja N° 04</v>
          </cell>
        </row>
        <row r="12">
          <cell r="A12">
            <v>303</v>
          </cell>
          <cell r="J12">
            <v>0</v>
          </cell>
          <cell r="O12" t="str">
            <v>Activación de Pullcord de la faja N° 05</v>
          </cell>
        </row>
        <row r="13">
          <cell r="A13">
            <v>304</v>
          </cell>
          <cell r="J13">
            <v>0</v>
          </cell>
          <cell r="O13" t="str">
            <v>Activación de Pullcord de la faja N° 05, y sensor de Rotura de la faja N° 04</v>
          </cell>
        </row>
        <row r="14">
          <cell r="A14">
            <v>305</v>
          </cell>
          <cell r="J14">
            <v>0</v>
          </cell>
          <cell r="O14" t="str">
            <v>Activación de Pullcord de la faja N° 1B</v>
          </cell>
        </row>
        <row r="15">
          <cell r="A15">
            <v>306</v>
          </cell>
          <cell r="J15">
            <v>0</v>
          </cell>
          <cell r="O15" t="str">
            <v>Activación de Sensor de la faja N° 01</v>
          </cell>
        </row>
        <row r="16">
          <cell r="A16">
            <v>307</v>
          </cell>
          <cell r="J16">
            <v>0</v>
          </cell>
          <cell r="O16" t="str">
            <v>Activación de Sensor de la faja N° 02</v>
          </cell>
        </row>
        <row r="17">
          <cell r="A17">
            <v>501</v>
          </cell>
          <cell r="J17">
            <v>0</v>
          </cell>
          <cell r="O17" t="str">
            <v>Activación de Sensor de la faja N° 03</v>
          </cell>
        </row>
        <row r="18">
          <cell r="A18">
            <v>502</v>
          </cell>
          <cell r="J18">
            <v>0</v>
          </cell>
          <cell r="O18" t="str">
            <v>Activación de Sensor de la faja N° 04</v>
          </cell>
        </row>
        <row r="19">
          <cell r="A19">
            <v>503</v>
          </cell>
          <cell r="J19">
            <v>0</v>
          </cell>
          <cell r="O19" t="str">
            <v>Activación de Sensor de la faja N° 05</v>
          </cell>
        </row>
        <row r="20">
          <cell r="A20">
            <v>504</v>
          </cell>
          <cell r="J20">
            <v>0</v>
          </cell>
          <cell r="O20" t="str">
            <v>Activación de Sensor de la faja Mobil</v>
          </cell>
        </row>
        <row r="21">
          <cell r="A21">
            <v>505</v>
          </cell>
          <cell r="J21">
            <v>0</v>
          </cell>
          <cell r="O21" t="str">
            <v xml:space="preserve">Activación de Sensor de la Tolva de Gruesos </v>
          </cell>
        </row>
        <row r="22">
          <cell r="A22">
            <v>506</v>
          </cell>
          <cell r="J22">
            <v>0</v>
          </cell>
          <cell r="O22" t="str">
            <v>Arranque del Circuito del Chancado</v>
          </cell>
        </row>
        <row r="23">
          <cell r="A23">
            <v>507</v>
          </cell>
          <cell r="J23">
            <v>0</v>
          </cell>
          <cell r="O23" t="str">
            <v>Asamblea de  Trabajadores Milpo</v>
          </cell>
        </row>
        <row r="24">
          <cell r="A24">
            <v>508</v>
          </cell>
          <cell r="J24">
            <v>0</v>
          </cell>
          <cell r="O24" t="str">
            <v>Atoro de Bancos en Alimentador N° 1</v>
          </cell>
        </row>
        <row r="25">
          <cell r="A25">
            <v>509</v>
          </cell>
          <cell r="J25">
            <v>0</v>
          </cell>
          <cell r="O25" t="str">
            <v>Atoro de Mineral en el chute de descarga del  Alimentador  1A</v>
          </cell>
        </row>
        <row r="26">
          <cell r="A26">
            <v>510</v>
          </cell>
          <cell r="J26">
            <v>0</v>
          </cell>
          <cell r="O26" t="str">
            <v>Atoro de Mineral en el alimentador de 1B</v>
          </cell>
        </row>
        <row r="27">
          <cell r="A27">
            <v>511</v>
          </cell>
          <cell r="J27">
            <v>0</v>
          </cell>
          <cell r="O27" t="str">
            <v>Atoro de mineral en el chute de la faja N° 1</v>
          </cell>
        </row>
        <row r="28">
          <cell r="A28">
            <v>512</v>
          </cell>
          <cell r="J28">
            <v>0</v>
          </cell>
          <cell r="O28" t="str">
            <v>Atoro de mineral en el chute de la faja N° 1B</v>
          </cell>
        </row>
        <row r="29">
          <cell r="A29">
            <v>513</v>
          </cell>
          <cell r="J29">
            <v>0</v>
          </cell>
          <cell r="O29" t="str">
            <v>Atoro de mineral en el chute de la faja N° 2</v>
          </cell>
        </row>
        <row r="30">
          <cell r="A30">
            <v>514</v>
          </cell>
          <cell r="J30">
            <v>0</v>
          </cell>
          <cell r="O30" t="str">
            <v>Atoro de mineral en el chute de la faja N° 3</v>
          </cell>
        </row>
        <row r="31">
          <cell r="A31">
            <v>515</v>
          </cell>
          <cell r="J31">
            <v>0</v>
          </cell>
          <cell r="O31" t="str">
            <v>Atoro de mineral en el chute de la faja N° 4</v>
          </cell>
        </row>
        <row r="32">
          <cell r="A32">
            <v>516</v>
          </cell>
          <cell r="J32">
            <v>0</v>
          </cell>
          <cell r="O32" t="str">
            <v>Atoro de mineral en el chute de la faja N° 5</v>
          </cell>
        </row>
        <row r="33">
          <cell r="A33">
            <v>517</v>
          </cell>
          <cell r="J33">
            <v>0</v>
          </cell>
          <cell r="O33" t="str">
            <v xml:space="preserve">Atoro de Polea en cola de Faja 5 </v>
          </cell>
        </row>
        <row r="34">
          <cell r="A34">
            <v>518</v>
          </cell>
          <cell r="J34">
            <v>0</v>
          </cell>
          <cell r="O34" t="str">
            <v>Banco de mineral  Atrancado en faja N° 01</v>
          </cell>
        </row>
        <row r="35">
          <cell r="A35">
            <v>519</v>
          </cell>
          <cell r="J35">
            <v>0</v>
          </cell>
          <cell r="O35" t="str">
            <v>Caída de plancha de la guarda faja 1.</v>
          </cell>
        </row>
        <row r="36">
          <cell r="A36">
            <v>520</v>
          </cell>
          <cell r="J36">
            <v>0</v>
          </cell>
          <cell r="O36" t="str">
            <v>Caída de plancha de la guarda lateral de impacto lado derecho del Alimentador N° 1A</v>
          </cell>
        </row>
        <row r="37">
          <cell r="A37">
            <v>521</v>
          </cell>
          <cell r="J37">
            <v>0</v>
          </cell>
          <cell r="O37" t="str">
            <v>Caida de Tension 440 Chancado Primario</v>
          </cell>
        </row>
        <row r="38">
          <cell r="A38">
            <v>523</v>
          </cell>
          <cell r="J38">
            <v>0</v>
          </cell>
          <cell r="O38" t="str">
            <v>Caida de Tension Interior Mina RP 074 OB5</v>
          </cell>
        </row>
        <row r="39">
          <cell r="A39">
            <v>524</v>
          </cell>
          <cell r="J39">
            <v>0</v>
          </cell>
          <cell r="O39" t="str">
            <v>Problemas  de Balanza en la Faja N° 03</v>
          </cell>
        </row>
        <row r="40">
          <cell r="A40">
            <v>525</v>
          </cell>
          <cell r="J40">
            <v>0</v>
          </cell>
          <cell r="O40" t="str">
            <v>Calibración de Balanza de la Faja N° 03</v>
          </cell>
        </row>
        <row r="41">
          <cell r="A41">
            <v>526</v>
          </cell>
          <cell r="J41">
            <v>0</v>
          </cell>
          <cell r="O41" t="str">
            <v>Cambio de Chute de la Faja N°03</v>
          </cell>
        </row>
        <row r="42">
          <cell r="A42">
            <v>527</v>
          </cell>
          <cell r="J42">
            <v>0</v>
          </cell>
          <cell r="O42" t="str">
            <v>Cambio Cabezal Grizzly</v>
          </cell>
        </row>
        <row r="43">
          <cell r="A43">
            <v>529</v>
          </cell>
          <cell r="J43">
            <v>0</v>
          </cell>
          <cell r="O43" t="str">
            <v>Cambio de Aceite del Reductor  de la faja N° 03</v>
          </cell>
        </row>
        <row r="44">
          <cell r="A44">
            <v>530</v>
          </cell>
          <cell r="J44">
            <v>0</v>
          </cell>
          <cell r="O44" t="str">
            <v>Cambio de Aceite del Reductor  de la faja N° 03</v>
          </cell>
        </row>
        <row r="45">
          <cell r="A45">
            <v>531</v>
          </cell>
          <cell r="J45">
            <v>0</v>
          </cell>
          <cell r="O45" t="str">
            <v>Cambio de Aceite del Reductor  de la faja N° 03</v>
          </cell>
        </row>
        <row r="46">
          <cell r="A46">
            <v>528</v>
          </cell>
          <cell r="J46">
            <v>0</v>
          </cell>
          <cell r="O46" t="str">
            <v>Cambio de Aceite del Reductor  de la faja N° 03</v>
          </cell>
        </row>
        <row r="47">
          <cell r="J47">
            <v>0</v>
          </cell>
          <cell r="O47" t="str">
            <v>Cambio de barras - zarandas Grizzly</v>
          </cell>
        </row>
        <row r="48">
          <cell r="J48">
            <v>0</v>
          </cell>
          <cell r="O48" t="str">
            <v>Cambio de Faja 2</v>
          </cell>
        </row>
        <row r="49">
          <cell r="J49">
            <v>0</v>
          </cell>
          <cell r="O49" t="str">
            <v>Cambio de Faja 3</v>
          </cell>
        </row>
        <row r="50">
          <cell r="J50">
            <v>0</v>
          </cell>
          <cell r="O50" t="str">
            <v>Cambio de Guarda Faja 1</v>
          </cell>
        </row>
        <row r="51">
          <cell r="J51">
            <v>0</v>
          </cell>
          <cell r="O51" t="str">
            <v>Cambio de Guarda Faja 2</v>
          </cell>
        </row>
        <row r="52">
          <cell r="J52">
            <v>0</v>
          </cell>
          <cell r="O52" t="str">
            <v>Cambio de Guarda Faja 3</v>
          </cell>
        </row>
        <row r="53">
          <cell r="J53">
            <v>0</v>
          </cell>
          <cell r="O53" t="str">
            <v>Cambio de Guarda Faja 4</v>
          </cell>
        </row>
        <row r="54">
          <cell r="J54">
            <v>0</v>
          </cell>
          <cell r="O54" t="str">
            <v>Cambio de guardia en sala de control Planta</v>
          </cell>
        </row>
        <row r="55">
          <cell r="J55">
            <v>0</v>
          </cell>
          <cell r="O55" t="str">
            <v>Cambio de Plancha ,  Chancadora Primaria</v>
          </cell>
        </row>
        <row r="56">
          <cell r="J56">
            <v>0</v>
          </cell>
          <cell r="O56" t="str">
            <v>Cambio de Polines en la faja N° 01</v>
          </cell>
        </row>
        <row r="57">
          <cell r="J57">
            <v>0</v>
          </cell>
          <cell r="O57" t="str">
            <v>Cambio de Polines en la faja N° 01, y Se coloco Guarderas en  el Alimentador 1B</v>
          </cell>
        </row>
        <row r="58">
          <cell r="J58">
            <v>0</v>
          </cell>
          <cell r="O58" t="str">
            <v>Cambio de Polines en la faja N° 02</v>
          </cell>
        </row>
        <row r="59">
          <cell r="J59">
            <v>0</v>
          </cell>
          <cell r="O59" t="str">
            <v>Cambio de Polines en la faja N° 03</v>
          </cell>
        </row>
        <row r="60">
          <cell r="J60">
            <v>0</v>
          </cell>
          <cell r="O60" t="str">
            <v>Cambio de Polines en la faja N° 04</v>
          </cell>
        </row>
        <row r="61">
          <cell r="J61">
            <v>0</v>
          </cell>
          <cell r="O61" t="str">
            <v>Cambio de Polines en la faja N° 05</v>
          </cell>
        </row>
        <row r="62">
          <cell r="J62">
            <v>0</v>
          </cell>
          <cell r="O62" t="str">
            <v>Cambio de Resortes en Chancadora de Quijada - Chancado Primario</v>
          </cell>
        </row>
        <row r="63">
          <cell r="J63">
            <v>0</v>
          </cell>
          <cell r="O63" t="str">
            <v>Cambio Grampas Faja N° 02</v>
          </cell>
        </row>
        <row r="64">
          <cell r="J64">
            <v>0</v>
          </cell>
          <cell r="O64" t="str">
            <v>Cambio Grapas Faja N° 3</v>
          </cell>
        </row>
        <row r="65">
          <cell r="J65">
            <v>0</v>
          </cell>
          <cell r="O65" t="str">
            <v>Cambio Manga de Ventilacion en Chancado Primario</v>
          </cell>
        </row>
        <row r="66">
          <cell r="J66">
            <v>0</v>
          </cell>
          <cell r="O66" t="str">
            <v>Cambio Muela Chancadora Primaria</v>
          </cell>
        </row>
        <row r="67">
          <cell r="J67">
            <v>0</v>
          </cell>
          <cell r="O67" t="str">
            <v>Capacitacion Geomecanica</v>
          </cell>
        </row>
        <row r="68">
          <cell r="J68">
            <v>0</v>
          </cell>
          <cell r="O68" t="str">
            <v>Capacitacion Gestion y Seguridad</v>
          </cell>
        </row>
        <row r="69">
          <cell r="J69">
            <v>0</v>
          </cell>
          <cell r="O69" t="str">
            <v xml:space="preserve">Capacitacion y Evaluacion a Operadores </v>
          </cell>
        </row>
        <row r="70">
          <cell r="J70">
            <v>0</v>
          </cell>
          <cell r="O70" t="str">
            <v>Capacitación y Sensibilización al personal,  respecto  al  accidente ocurrido</v>
          </cell>
        </row>
        <row r="71">
          <cell r="J71">
            <v>0</v>
          </cell>
          <cell r="O71" t="str">
            <v>Carga Acumulada en la Cola de  la faja N° 03</v>
          </cell>
        </row>
        <row r="72">
          <cell r="J72">
            <v>0</v>
          </cell>
          <cell r="O72" t="str">
            <v>Colocar Grapas Faja 4</v>
          </cell>
        </row>
        <row r="73">
          <cell r="J73">
            <v>0</v>
          </cell>
          <cell r="O73" t="str">
            <v>Colocar Raspador Faja 1</v>
          </cell>
        </row>
        <row r="74">
          <cell r="J74">
            <v>0</v>
          </cell>
          <cell r="O74" t="str">
            <v>Congestion de Volquetes Mineral y Desmonte Nv 1650 - Nv 1680 Rp 678</v>
          </cell>
        </row>
        <row r="75">
          <cell r="J75">
            <v>0</v>
          </cell>
          <cell r="O75" t="str">
            <v xml:space="preserve">Corte de Energia en la Camara de Chancado Primario </v>
          </cell>
        </row>
        <row r="76">
          <cell r="J76">
            <v>0</v>
          </cell>
          <cell r="O76" t="str">
            <v xml:space="preserve">Corte de Energia en la chancadora </v>
          </cell>
        </row>
        <row r="77">
          <cell r="J77">
            <v>0</v>
          </cell>
          <cell r="O77" t="str">
            <v xml:space="preserve">Corte Energia Chancado Primario </v>
          </cell>
        </row>
        <row r="78">
          <cell r="J78">
            <v>0</v>
          </cell>
          <cell r="O78" t="str">
            <v>Corte de Energia por Disparo  Nv 1800</v>
          </cell>
        </row>
        <row r="79">
          <cell r="J79">
            <v>0</v>
          </cell>
          <cell r="O79" t="str">
            <v>Corte Energia por parte Mantenimiento Electrico Mina</v>
          </cell>
        </row>
        <row r="80">
          <cell r="J80">
            <v>0</v>
          </cell>
          <cell r="O80" t="str">
            <v>Cuneteo Camon Sissor de Servicios Rampa 678  Nv   1770</v>
          </cell>
        </row>
        <row r="81">
          <cell r="J81">
            <v>0</v>
          </cell>
          <cell r="O81" t="str">
            <v xml:space="preserve">Demora  de volquetes a la parrilla Atollamiento de   Volquete </v>
          </cell>
        </row>
        <row r="82">
          <cell r="J82">
            <v>0</v>
          </cell>
          <cell r="O82" t="str">
            <v>Demora de llegada de los volquetes a la parrilla por congestion en rampa 678</v>
          </cell>
        </row>
        <row r="83">
          <cell r="J83">
            <v>0</v>
          </cell>
          <cell r="O83" t="str">
            <v>Demora de llegada de los volquetes a la parrilla Por mala Coordinación de Sup. De America</v>
          </cell>
        </row>
        <row r="84">
          <cell r="J84">
            <v>0</v>
          </cell>
          <cell r="O84" t="str">
            <v xml:space="preserve">Demora de llegada de los volquetes a la parrilla, debido a un Volquete de America se malogro en la via </v>
          </cell>
        </row>
        <row r="85">
          <cell r="J85">
            <v>0</v>
          </cell>
          <cell r="O85" t="str">
            <v>Demora de llegada de volquetes a la parrilla</v>
          </cell>
        </row>
        <row r="86">
          <cell r="J86">
            <v>0</v>
          </cell>
          <cell r="O86" t="str">
            <v>Demora de llegada de volquetes a la parrilla por falta de combustible</v>
          </cell>
        </row>
        <row r="87">
          <cell r="J87">
            <v>0</v>
          </cell>
          <cell r="O87" t="str">
            <v>Demora de llegada de volquetes a la parrilla por refrigerio</v>
          </cell>
        </row>
        <row r="88">
          <cell r="J88">
            <v>0</v>
          </cell>
          <cell r="O88" t="str">
            <v>Demora de llegada de volquetes a la parrilla, por falta de pace Personal de Taller electrico Realizando Trabajos</v>
          </cell>
        </row>
        <row r="89">
          <cell r="J89">
            <v>0</v>
          </cell>
          <cell r="O89" t="str">
            <v xml:space="preserve">Demora de llegada de volquetes a la parrilla, por Interbencion de  los Equipos por  G4S Seguridad interna </v>
          </cell>
        </row>
        <row r="90">
          <cell r="J90">
            <v>0</v>
          </cell>
          <cell r="O90" t="str">
            <v>Demora en Cambio de Alimentador 1 a 1 B</v>
          </cell>
        </row>
        <row r="91">
          <cell r="J91">
            <v>0</v>
          </cell>
          <cell r="O91" t="str">
            <v>Demora en Ingreso Volquete por malas condiciones Climaticas</v>
          </cell>
        </row>
        <row r="92">
          <cell r="J92">
            <v>0</v>
          </cell>
          <cell r="O92" t="str">
            <v xml:space="preserve">Demora en LLegada de volquetes a la parrilla </v>
          </cell>
        </row>
        <row r="93">
          <cell r="J93">
            <v>0</v>
          </cell>
          <cell r="O93" t="str">
            <v xml:space="preserve">Demora en llegada de volquetes a la parrilla por Transito en la Rp 074 </v>
          </cell>
        </row>
        <row r="94">
          <cell r="J94">
            <v>0</v>
          </cell>
          <cell r="O94" t="str">
            <v>Demora en llegada de volquetes a la parrilla por, ( Capacitacion al Personal )</v>
          </cell>
        </row>
        <row r="95">
          <cell r="J95">
            <v>0</v>
          </cell>
          <cell r="O95" t="str">
            <v>Demora en llenado de Pocket 1 y 2 por inicio de guardia</v>
          </cell>
        </row>
        <row r="96">
          <cell r="J96">
            <v>0</v>
          </cell>
          <cell r="O96" t="str">
            <v>Demora Volquete - Rampa 074 Bloqueada por Reparacion de Tuberia de Agua y Aire.</v>
          </cell>
        </row>
        <row r="97">
          <cell r="J97">
            <v>0</v>
          </cell>
          <cell r="O97" t="str">
            <v>Demora Volquetes  - Nv 1680  Rp 074 Bloqueado por Manga Ventilacion Rota y Descolgada</v>
          </cell>
        </row>
        <row r="98">
          <cell r="J98">
            <v>0</v>
          </cell>
          <cell r="O98" t="str">
            <v>Derrumbe Tajo 428 Nv 1740 y Humdimiento Nv 1800 Rp 017</v>
          </cell>
        </row>
        <row r="99">
          <cell r="J99">
            <v>0</v>
          </cell>
          <cell r="O99" t="str">
            <v>Desalineamiento de faja  N° 01</v>
          </cell>
        </row>
        <row r="100">
          <cell r="J100">
            <v>0</v>
          </cell>
          <cell r="O100" t="str">
            <v>Desalineamiento de faja  N° 02</v>
          </cell>
        </row>
        <row r="101">
          <cell r="J101">
            <v>0</v>
          </cell>
          <cell r="O101" t="str">
            <v>Desalineamiento de faja  N° 03</v>
          </cell>
        </row>
        <row r="102">
          <cell r="J102">
            <v>0</v>
          </cell>
          <cell r="O102" t="str">
            <v>Desalineamiento de faja  N° 04</v>
          </cell>
        </row>
        <row r="103">
          <cell r="J103">
            <v>0</v>
          </cell>
          <cell r="O103" t="str">
            <v>Desalineamiento de faja  N° 05</v>
          </cell>
        </row>
        <row r="104">
          <cell r="J104">
            <v>0</v>
          </cell>
          <cell r="O104" t="str">
            <v xml:space="preserve">Desbloqueo de Equipos </v>
          </cell>
        </row>
        <row r="105">
          <cell r="J105">
            <v>0</v>
          </cell>
          <cell r="O105" t="str">
            <v>Despeje de personal por voladura</v>
          </cell>
        </row>
        <row r="106">
          <cell r="J106">
            <v>0</v>
          </cell>
          <cell r="O106" t="str">
            <v>Electrisistas Realizando trabajos en el Tj 821 Nv 1820</v>
          </cell>
        </row>
        <row r="107">
          <cell r="J107">
            <v>0</v>
          </cell>
          <cell r="O107" t="str">
            <v xml:space="preserve">Evaluacion RR.HH al Personal de Mina </v>
          </cell>
        </row>
        <row r="108">
          <cell r="J108">
            <v>0</v>
          </cell>
          <cell r="O108" t="str">
            <v>Extracion Nv 1820  OB6 y OB7 Paralizada por Reparacion de Cable 440 v  seccionado por Choque.</v>
          </cell>
        </row>
        <row r="109">
          <cell r="J109">
            <v>0</v>
          </cell>
          <cell r="O109" t="str">
            <v>Falla de Motor de la Faja N° 01</v>
          </cell>
        </row>
        <row r="110">
          <cell r="J110">
            <v>0</v>
          </cell>
          <cell r="O110" t="str">
            <v>Falla del Variador de la faja N° 01</v>
          </cell>
        </row>
        <row r="111">
          <cell r="J111">
            <v>0</v>
          </cell>
          <cell r="O111" t="str">
            <v>Falla del Variador de la faja N° 02</v>
          </cell>
        </row>
        <row r="112">
          <cell r="J112">
            <v>0</v>
          </cell>
          <cell r="O112" t="str">
            <v>Falla del Variador de la faja N° 03</v>
          </cell>
        </row>
        <row r="113">
          <cell r="J113">
            <v>0</v>
          </cell>
          <cell r="O113" t="str">
            <v>Falla del Variador de la faja N° 04</v>
          </cell>
        </row>
        <row r="114">
          <cell r="J114">
            <v>0</v>
          </cell>
          <cell r="O114" t="str">
            <v>Falla del Variador de la faja N° 05</v>
          </cell>
        </row>
        <row r="115">
          <cell r="J115">
            <v>0</v>
          </cell>
          <cell r="O115" t="str">
            <v>Falla electrica en arranque de faja 1</v>
          </cell>
        </row>
        <row r="116">
          <cell r="J116">
            <v>0</v>
          </cell>
          <cell r="O116" t="str">
            <v>Falla electrica en arranque de faja 2</v>
          </cell>
        </row>
        <row r="117">
          <cell r="J117">
            <v>0</v>
          </cell>
          <cell r="O117" t="str">
            <v>Falla electrica en arranque de faja 3</v>
          </cell>
        </row>
        <row r="118">
          <cell r="J118">
            <v>0</v>
          </cell>
          <cell r="O118" t="str">
            <v>Falla electrica en arranque de faja 4</v>
          </cell>
        </row>
        <row r="119">
          <cell r="J119">
            <v>0</v>
          </cell>
          <cell r="O119" t="str">
            <v>Falla electrica en arranque de faja 5</v>
          </cell>
        </row>
        <row r="120">
          <cell r="J120">
            <v>0</v>
          </cell>
          <cell r="O120" t="str">
            <v xml:space="preserve">falla del  sistema de activacion de arranque de las  fajas </v>
          </cell>
        </row>
        <row r="121">
          <cell r="J121">
            <v>0</v>
          </cell>
          <cell r="O121" t="str">
            <v>Falla electrica del Ventilador del chancado primario</v>
          </cell>
        </row>
        <row r="122">
          <cell r="J122">
            <v>0</v>
          </cell>
          <cell r="O122" t="str">
            <v>Falla Mecanica en  faja 1</v>
          </cell>
        </row>
        <row r="123">
          <cell r="J123">
            <v>0</v>
          </cell>
          <cell r="O123" t="str">
            <v>Fallas Electrica Elimentador 1B</v>
          </cell>
        </row>
        <row r="124">
          <cell r="J124">
            <v>0</v>
          </cell>
          <cell r="O124" t="str">
            <v>Falta de agua para aspersores -camara de chancado</v>
          </cell>
        </row>
        <row r="125">
          <cell r="J125">
            <v>0</v>
          </cell>
          <cell r="O125" t="str">
            <v>Falta de agua para aspersores -camara de chancado</v>
          </cell>
        </row>
        <row r="126">
          <cell r="J126">
            <v>0</v>
          </cell>
          <cell r="O126" t="str">
            <v>Falta de Mineral Horario de Refrigerio</v>
          </cell>
        </row>
        <row r="127">
          <cell r="J127">
            <v>0</v>
          </cell>
          <cell r="O127" t="str">
            <v>Falta de mineral; por problemas de un Volquete de la Empresa Ameriaca se malogro en el Rp 678 Nv 1710 - 1680</v>
          </cell>
        </row>
        <row r="128">
          <cell r="J128">
            <v>0</v>
          </cell>
          <cell r="O128" t="str">
            <v xml:space="preserve">Falta de mineral; Rombanco Inoperativo Por falta de manguera del sistema de Percusión </v>
          </cell>
        </row>
        <row r="129">
          <cell r="J129">
            <v>0</v>
          </cell>
          <cell r="O129" t="str">
            <v>Falta de operador de rompebanco por refrigerio</v>
          </cell>
        </row>
        <row r="130">
          <cell r="J130">
            <v>0</v>
          </cell>
          <cell r="O130" t="str">
            <v>Falta de Personal para Relevo de Chancado Primario</v>
          </cell>
        </row>
        <row r="131">
          <cell r="J131">
            <v>0</v>
          </cell>
          <cell r="O131" t="str">
            <v xml:space="preserve">Falta Mineral Salida de personal </v>
          </cell>
        </row>
        <row r="132">
          <cell r="O132" t="str">
            <v xml:space="preserve">Falta Mineral Salida de personal </v>
          </cell>
        </row>
        <row r="133">
          <cell r="O133" t="str">
            <v>Fuga de Aceite por Rodamiento Faja 4</v>
          </cell>
        </row>
        <row r="134">
          <cell r="O134" t="str">
            <v>Inspeccion  en Chancadora Primaria</v>
          </cell>
        </row>
        <row r="135">
          <cell r="O135" t="str">
            <v xml:space="preserve">Inspiccion de Equipos </v>
          </cell>
        </row>
        <row r="136">
          <cell r="O136" t="str">
            <v>Limpieza de polea de contrapeso - faja 5</v>
          </cell>
        </row>
        <row r="137">
          <cell r="O137" t="str">
            <v>Limpieza del chute de la faja N° 3</v>
          </cell>
        </row>
        <row r="138">
          <cell r="O138" t="str">
            <v>Malla descolgada impide pase - interseccion Rp 678 y Nv 1820</v>
          </cell>
        </row>
        <row r="139">
          <cell r="O139" t="str">
            <v>Mantenimiento Alimentador 1 B</v>
          </cell>
        </row>
        <row r="140">
          <cell r="O140" t="str">
            <v>Mantenimiento Barras de Grizzly</v>
          </cell>
        </row>
        <row r="141">
          <cell r="O141" t="str">
            <v>Mantenimiento Correctivo de la Faja N° 02</v>
          </cell>
        </row>
        <row r="142">
          <cell r="O142" t="str">
            <v>Mantenimiento Correctivo</v>
          </cell>
        </row>
        <row r="143">
          <cell r="O143" t="str">
            <v>Mantenimiento Correctivo Chancado Primario</v>
          </cell>
        </row>
        <row r="144">
          <cell r="O144" t="str">
            <v>Mantenimiento Correctivo de Grizzly</v>
          </cell>
        </row>
        <row r="145">
          <cell r="O145" t="str">
            <v>Mantenimiento Correctivo del Grizzly</v>
          </cell>
        </row>
        <row r="146">
          <cell r="O146" t="str">
            <v>Mantenimiento Correctivo en la Faja N° 04</v>
          </cell>
        </row>
        <row r="147">
          <cell r="O147" t="str">
            <v>Mantenimiento Correctivo Faja 2</v>
          </cell>
        </row>
        <row r="148">
          <cell r="O148" t="str">
            <v>Mantenimiento faja 1</v>
          </cell>
        </row>
        <row r="149">
          <cell r="O149" t="str">
            <v>Mantenimiento Guardas del Grizzly</v>
          </cell>
        </row>
        <row r="150">
          <cell r="O150" t="str">
            <v xml:space="preserve">Mantenimiento programado </v>
          </cell>
        </row>
        <row r="151">
          <cell r="O151" t="str">
            <v>Mantenimiento programado - fajas 5 y 1</v>
          </cell>
        </row>
        <row r="152">
          <cell r="O152" t="str">
            <v>Mantenimiento programado de la Faja N° 02, y Reparacion del Grizly</v>
          </cell>
        </row>
        <row r="153">
          <cell r="O153" t="str">
            <v>Mantenimiento programado en Chancado Primario</v>
          </cell>
        </row>
        <row r="154">
          <cell r="O154" t="str">
            <v>Mantto  Setting  de la Chancadora</v>
          </cell>
        </row>
        <row r="155">
          <cell r="O155" t="str">
            <v>Mantto Se Cerro Setting  de la Chancadora, y se coloco Gurdera lateral en la faja N° 03</v>
          </cell>
        </row>
        <row r="156">
          <cell r="O156" t="str">
            <v>Nivel Alto en chute de  faja N° 1</v>
          </cell>
        </row>
        <row r="157">
          <cell r="O157" t="str">
            <v>Nivel Alto en chute de  faja N° 3</v>
          </cell>
        </row>
        <row r="158">
          <cell r="O158" t="str">
            <v>No hubo pace para los volquetes en Nv 1820  Acceso a volquetes ( Realizando trabajos de servicios)</v>
          </cell>
        </row>
        <row r="159">
          <cell r="O159" t="str">
            <v xml:space="preserve">Parada  por Sensor de Rotura de Faja N° 03, y Cambio de Grampas </v>
          </cell>
        </row>
        <row r="160">
          <cell r="O160" t="str">
            <v xml:space="preserve">Parada de Emergencia Faja N° 01,02, y  los 02 Alimentadores </v>
          </cell>
        </row>
        <row r="161">
          <cell r="O161" t="str">
            <v>Parada la Extraccion en los Tajos  950 y 941 por Bancos en las Ventanas</v>
          </cell>
        </row>
        <row r="162">
          <cell r="O162" t="str">
            <v>Parada para colocar Guardas en la cola de la  faja N° 02</v>
          </cell>
        </row>
        <row r="163">
          <cell r="O163" t="str">
            <v xml:space="preserve">Parada  de Emergencia Faja N°01 </v>
          </cell>
        </row>
        <row r="164">
          <cell r="O164" t="str">
            <v xml:space="preserve">Parada De Emergencia  de la Chancadora </v>
          </cell>
        </row>
        <row r="165">
          <cell r="O165" t="str">
            <v>Parada para retirar Fierros y Maderas de la Faja N° 01</v>
          </cell>
        </row>
        <row r="166">
          <cell r="O166" t="str">
            <v>Parada para retirar Fierros de la Faja N° 01</v>
          </cell>
        </row>
        <row r="167">
          <cell r="O167" t="str">
            <v>Parada por Año Nuevo</v>
          </cell>
        </row>
        <row r="168">
          <cell r="O168" t="str">
            <v>Parada por  Falta de mineral,  volquete de la Empresa de Etranserge  se cuneteo en el Nv 1820</v>
          </cell>
        </row>
        <row r="169">
          <cell r="O169" t="str">
            <v>Parada por Atoro de Mineral en el  Grizzly</v>
          </cell>
        </row>
        <row r="170">
          <cell r="O170" t="str">
            <v xml:space="preserve">Parada Por Mucha  Polocion en la Camara de Chancado </v>
          </cell>
        </row>
        <row r="171">
          <cell r="O171" t="str">
            <v>Parada por mucha Polución en Chancado primario</v>
          </cell>
        </row>
        <row r="172">
          <cell r="O172" t="str">
            <v>Parada pora colocar Guardas en la faja N° 03</v>
          </cell>
        </row>
        <row r="173">
          <cell r="O173" t="str">
            <v>Paralizacion Labores Personal Milpo Mina Hasta 11:30 pm.</v>
          </cell>
        </row>
        <row r="174">
          <cell r="O174" t="str">
            <v xml:space="preserve">Perdida de Comunicación - Equipos Chancado Primario  con Planta. </v>
          </cell>
        </row>
        <row r="175">
          <cell r="O175" t="str">
            <v>Perdida de Comunicación con Fajas  3, 4 y 5</v>
          </cell>
        </row>
        <row r="176">
          <cell r="O176" t="str">
            <v>Perdida de Comunicación con Fajas N° 02</v>
          </cell>
        </row>
        <row r="177">
          <cell r="O177" t="str">
            <v>Falla del Sistema de Engrase automático Alimentador N°01 B</v>
          </cell>
        </row>
        <row r="178">
          <cell r="O178" t="str">
            <v>Personal Trasladandose a sus Labores</v>
          </cell>
        </row>
        <row r="179">
          <cell r="O179" t="str">
            <v>Revision del Equipo   Grizzly</v>
          </cell>
        </row>
        <row r="180">
          <cell r="O180" t="str">
            <v>Presento Problemas en el Grizzly</v>
          </cell>
        </row>
        <row r="181">
          <cell r="O181" t="str">
            <v>Probar Reparacion de Locotrack</v>
          </cell>
        </row>
        <row r="182">
          <cell r="O182" t="str">
            <v>Problemas  de Guardera  de la faja N° 02</v>
          </cell>
        </row>
        <row r="183">
          <cell r="O183" t="str">
            <v xml:space="preserve">Problemas de Manga de Ventilación </v>
          </cell>
        </row>
        <row r="184">
          <cell r="O184" t="str">
            <v xml:space="preserve">Problemas con Arranque de Faja 3.  </v>
          </cell>
        </row>
        <row r="185">
          <cell r="O185" t="str">
            <v xml:space="preserve">Problemas Con el Equipo Rompebanca  Doosan </v>
          </cell>
        </row>
        <row r="186">
          <cell r="O186" t="str">
            <v>Problemas Con Variador de la faja N° 05</v>
          </cell>
        </row>
        <row r="187">
          <cell r="O187" t="str">
            <v>Problemas Con Variador de la faja N° 04</v>
          </cell>
        </row>
        <row r="188">
          <cell r="O188" t="str">
            <v>Problemas de  arrancador de la faja N° 02</v>
          </cell>
        </row>
        <row r="189">
          <cell r="O189" t="str">
            <v>Problemas de  arrancador del Alimentador  N° 01A, Sistema electrico</v>
          </cell>
        </row>
        <row r="190">
          <cell r="O190" t="str">
            <v xml:space="preserve">Problemas de Bancos en en los Tajos </v>
          </cell>
        </row>
        <row r="191">
          <cell r="O191" t="str">
            <v>Problemas de Bancos en el Tj 740 Nv 1880</v>
          </cell>
        </row>
        <row r="192">
          <cell r="O192" t="str">
            <v xml:space="preserve">Problemas de la via  Rp  074 Nv 1800,  Perjudicando la circulacion de  volquetes </v>
          </cell>
        </row>
        <row r="193">
          <cell r="O193" t="str">
            <v xml:space="preserve">Problemas de pace en la Rap.  074 Volquetes no pueden transitar, debido al Mixer de Semiglo se malogro en la via </v>
          </cell>
        </row>
        <row r="194">
          <cell r="O194" t="str">
            <v>Problemas de pace en la Rap.  678 Volquetes no pueden transitar, debido a la vía  mojada sumidero 1800  se rebalsa</v>
          </cell>
        </row>
        <row r="195">
          <cell r="O195" t="str">
            <v xml:space="preserve">Problemas de Subcidencia </v>
          </cell>
        </row>
        <row r="196">
          <cell r="O196" t="str">
            <v>Problemas de Falso Arranque de la Faja 1</v>
          </cell>
        </row>
        <row r="197">
          <cell r="O197" t="str">
            <v>Problemas Electricos en el Sensor de la Faja N° 01</v>
          </cell>
        </row>
        <row r="198">
          <cell r="O198" t="str">
            <v xml:space="preserve">Programa de parada de Planta </v>
          </cell>
        </row>
        <row r="199">
          <cell r="O199" t="str">
            <v xml:space="preserve">Programa de parada de Planta,  Reforzamiento de parrillas </v>
          </cell>
        </row>
        <row r="200">
          <cell r="O200" t="str">
            <v>Pruebas de Locotrack</v>
          </cell>
        </row>
        <row r="201">
          <cell r="O201" t="str">
            <v xml:space="preserve">Pullcord Faja Movil </v>
          </cell>
        </row>
        <row r="202">
          <cell r="O202" t="str">
            <v>Rotura de Faja N°02</v>
          </cell>
        </row>
        <row r="203">
          <cell r="O203" t="str">
            <v>Relevo Chancado Primario</v>
          </cell>
        </row>
        <row r="204">
          <cell r="O204" t="str">
            <v xml:space="preserve">Reparacion  Mecanica en la Faja N° 01, </v>
          </cell>
        </row>
        <row r="205">
          <cell r="O205" t="str">
            <v>Reparación de Aspersores y cambio de conector del Atomizador</v>
          </cell>
        </row>
        <row r="206">
          <cell r="O206" t="str">
            <v>Reparacion de Cable Electrico 440 v  en la subida a Parrillas.</v>
          </cell>
        </row>
        <row r="207">
          <cell r="O207" t="str">
            <v>Reparacion de Guardera lateral derecho de la faja N° 03</v>
          </cell>
        </row>
        <row r="208">
          <cell r="O208" t="str">
            <v>Reparacion Mecanica en Faja N°04</v>
          </cell>
        </row>
        <row r="209">
          <cell r="O209" t="str">
            <v xml:space="preserve">Reparacion Mecanica en Parrilla </v>
          </cell>
        </row>
        <row r="210">
          <cell r="O210" t="str">
            <v>Reparacion de resolte de faja 1</v>
          </cell>
        </row>
        <row r="211">
          <cell r="O211" t="str">
            <v>Reparacion de variador de la faja N° 03</v>
          </cell>
        </row>
        <row r="212">
          <cell r="O212" t="str">
            <v xml:space="preserve">Reparacion en Chancadora Primaria </v>
          </cell>
        </row>
        <row r="213">
          <cell r="O213" t="str">
            <v>Reparacion en Chancadora Primaria  - Ajustar Muela</v>
          </cell>
        </row>
        <row r="214">
          <cell r="O214" t="str">
            <v>Reparacion Mecanica del Grizly  y  Se Coloco Ducto de colector de polvo y Cambio de polin en la faja N° 01</v>
          </cell>
        </row>
        <row r="215">
          <cell r="O215" t="str">
            <v>Reparacion Mecanica del Grizly, y Cambio de Raspadores en la Faja N° 03</v>
          </cell>
        </row>
        <row r="216">
          <cell r="O216" t="str">
            <v xml:space="preserve">Reparto  de guardia e inspección de equipos </v>
          </cell>
        </row>
        <row r="217">
          <cell r="O217" t="str">
            <v>Retiro de Banco de la Faja N°01</v>
          </cell>
        </row>
        <row r="218">
          <cell r="O218" t="str">
            <v>Retiro de cable Electrico en Subida a Parrilla por voladura</v>
          </cell>
        </row>
        <row r="219">
          <cell r="O219" t="str">
            <v>Reubicación Y Reparacion de la faja Movil</v>
          </cell>
        </row>
        <row r="220">
          <cell r="O220" t="str">
            <v xml:space="preserve">Revision e inspicion  de Equipos </v>
          </cell>
        </row>
        <row r="221">
          <cell r="O221" t="str">
            <v xml:space="preserve">Revision e inspicion  de Equipos </v>
          </cell>
        </row>
        <row r="222">
          <cell r="O222" t="str">
            <v>Reparacion de Chute de la Faja N°2</v>
          </cell>
        </row>
        <row r="223">
          <cell r="O223" t="str">
            <v>Rompe Bancos Inoperativos</v>
          </cell>
        </row>
        <row r="224">
          <cell r="O224" t="str">
            <v xml:space="preserve">Se coloco Raspadores en la Cabeza de la faja N° 01; Se Hizo Mantenimiento en la chancadora </v>
          </cell>
        </row>
        <row r="225">
          <cell r="O225" t="str">
            <v>Se reforzó la guarda lateral de impacto lado derecho del Alimentador N° 1A</v>
          </cell>
        </row>
        <row r="226">
          <cell r="O226" t="str">
            <v xml:space="preserve">Sensor de Rotura de Faja Movil </v>
          </cell>
        </row>
        <row r="227">
          <cell r="O227" t="str">
            <v>Sensor de Rotura de Faja N° 01</v>
          </cell>
        </row>
        <row r="228">
          <cell r="O228" t="str">
            <v>Sensor de Rotura de Faja N° 02</v>
          </cell>
        </row>
        <row r="229">
          <cell r="O229" t="str">
            <v>Sensor de Rotura de Faja N° 03</v>
          </cell>
        </row>
        <row r="230">
          <cell r="O230" t="str">
            <v>Sensor de Rotura de Faja N° 04</v>
          </cell>
        </row>
        <row r="231">
          <cell r="O231" t="str">
            <v>Sensor de Rotura de Faja N° 05</v>
          </cell>
        </row>
        <row r="232">
          <cell r="O232" t="str">
            <v>Sobrecarga  y  Perdida Comunicación Alimentador 1 B</v>
          </cell>
        </row>
        <row r="233">
          <cell r="O233" t="str">
            <v>Sobrecarga Alimentador N°01</v>
          </cell>
        </row>
        <row r="234">
          <cell r="O234" t="str">
            <v xml:space="preserve">Sobrecarga Cola Faja N°02 / Falso Arranque de la Faja N° 01 </v>
          </cell>
        </row>
        <row r="235">
          <cell r="O235" t="str">
            <v xml:space="preserve"> los Instrumentistas de planta realizan pruebas con la empresa ABB</v>
          </cell>
        </row>
        <row r="236">
          <cell r="O236" t="str">
            <v>Sobrecarga de la faja N°02</v>
          </cell>
        </row>
        <row r="237">
          <cell r="O237" t="str">
            <v>Sobrecarga de motor de la chancadora Primaria</v>
          </cell>
        </row>
        <row r="238">
          <cell r="O238" t="str">
            <v>Sostenimiento y Shocrete en Rampa 955</v>
          </cell>
        </row>
        <row r="239">
          <cell r="O239" t="str">
            <v xml:space="preserve">Stock de gruesos sin aréa para acumulacion de mineral </v>
          </cell>
        </row>
        <row r="240">
          <cell r="O240" t="str">
            <v>Tajos 881 y 821 Parados por Falta de Iluminacion</v>
          </cell>
        </row>
        <row r="241">
          <cell r="O241" t="str">
            <v>Temperatura Alta en la Faja N° 05</v>
          </cell>
        </row>
        <row r="242">
          <cell r="O242" t="str">
            <v xml:space="preserve">Temperatura alta en la Tolva de Gruesos </v>
          </cell>
        </row>
        <row r="243">
          <cell r="O243" t="str">
            <v xml:space="preserve">Temperatura alta en Alimentador </v>
          </cell>
        </row>
        <row r="244">
          <cell r="O244" t="str">
            <v>Temperatura Alta en el Alimentador N° 1A</v>
          </cell>
        </row>
        <row r="245">
          <cell r="O245" t="str">
            <v>Temperatura alta en Variador de Faja 5</v>
          </cell>
        </row>
        <row r="246">
          <cell r="O246" t="str">
            <v>Trabajos de la Cola de la Faja N°05</v>
          </cell>
        </row>
        <row r="247">
          <cell r="O247" t="str">
            <v>Trabajos de Medicion en Faja 3 por parte del Area de Proyectos</v>
          </cell>
        </row>
        <row r="248">
          <cell r="O248" t="str">
            <v>Trabajos de Shocrete Rampa 678  Nivel 1740 al 1760</v>
          </cell>
        </row>
        <row r="249">
          <cell r="O249" t="str">
            <v>Trabajos de soldadura en Chute  Chancadora Primaria.</v>
          </cell>
        </row>
        <row r="250">
          <cell r="O250" t="str">
            <v>Trabajos de soldadura en la Chancadora, y Reparacion de Chute en la faja N° 3</v>
          </cell>
        </row>
        <row r="251">
          <cell r="O251" t="str">
            <v>Trabajos de soldadura Grizzly  Chancadora Primaria.</v>
          </cell>
        </row>
        <row r="252">
          <cell r="O252" t="str">
            <v>Trabajos Electricos  Faja N°05</v>
          </cell>
        </row>
        <row r="253">
          <cell r="O253" t="str">
            <v>Trabajos en Sub Estacion 1875 (Casuarinas)</v>
          </cell>
        </row>
        <row r="254">
          <cell r="O254" t="str">
            <v>Trabajos Programados en Alimentador 1.</v>
          </cell>
        </row>
        <row r="255">
          <cell r="O255" t="str">
            <v>Trabajos Reparacion cable electrico en subida a parilla Nv 1820</v>
          </cell>
        </row>
        <row r="256">
          <cell r="O256" t="str">
            <v>Traslado del Equipo a Labor</v>
          </cell>
        </row>
        <row r="257">
          <cell r="O257" t="str">
            <v>Volquete Atlantic Inoperativo en subida de Volquetes</v>
          </cell>
        </row>
        <row r="258">
          <cell r="O258" t="str">
            <v>Volquete de America Parqueado Nv 1820  Cx 900</v>
          </cell>
        </row>
        <row r="259">
          <cell r="O259" t="str">
            <v>Volquete de Multicosailor Inoperativo Rp 678 Nv 1770</v>
          </cell>
        </row>
        <row r="260">
          <cell r="O260" t="str">
            <v xml:space="preserve">Volquetes  Trasladan Mineral a Botadero 100 </v>
          </cell>
        </row>
        <row r="261">
          <cell r="O261" t="str">
            <v>Volquetes  Trasladan Mineral a Botadero 100 por Trabajos en Chancadora</v>
          </cell>
        </row>
        <row r="262">
          <cell r="O262" t="str">
            <v>Volquetes Parados en Bocamina Nv 1820  por inspeccion de Documentacion por parte de Seguridad</v>
          </cell>
        </row>
        <row r="263">
          <cell r="O263" t="str">
            <v>Volquetes ya no llegaron a la parrilla</v>
          </cell>
        </row>
        <row r="264">
          <cell r="O264" t="str">
            <v>Parada por reparacion de mangue de ventilacion en chancado primario</v>
          </cell>
        </row>
        <row r="265">
          <cell r="O265" t="str">
            <v>Reunion de Seguridad Interior Mina - hasta 9:00 am (x accidente)</v>
          </cell>
        </row>
        <row r="266">
          <cell r="O266" t="str">
            <v xml:space="preserve">Falta Ventilacion Chancado Primario - Corte Energia Sub Estacion 1820 OB2 </v>
          </cell>
        </row>
        <row r="267">
          <cell r="O267" t="str">
            <v>Demora en llenado de Pocket 1 y 2 - Demora en Salida de Mantenimiento  de  Scoop  16 y 17</v>
          </cell>
        </row>
        <row r="268">
          <cell r="O268" t="str">
            <v>Perdida De Comunicación Faja N° 5</v>
          </cell>
        </row>
        <row r="269">
          <cell r="O269" t="str">
            <v>Llenado de Pocket 2 - Para Realizar Cambio de Parrilla</v>
          </cell>
        </row>
        <row r="270">
          <cell r="O270" t="str">
            <v>Corte de Energia - Sub Estacion "Cerro Lindo"</v>
          </cell>
        </row>
        <row r="271">
          <cell r="O271" t="str">
            <v>Problemas de  arrancador de la faja N° 01</v>
          </cell>
        </row>
        <row r="272">
          <cell r="O272" t="str">
            <v>Sobrecarga Faja Movil de Stock de Gruesos</v>
          </cell>
        </row>
        <row r="273">
          <cell r="O273" t="str">
            <v>Chancado Primario - Reparacion de Manga de Ventilacion.</v>
          </cell>
        </row>
        <row r="274">
          <cell r="O274" t="str">
            <v>Parada de Chancado Primario - Corte Energia Planta</v>
          </cell>
        </row>
        <row r="275">
          <cell r="O275" t="str">
            <v>Mantenimiento de Rampas y Limpieza de Relave Chimenea 930</v>
          </cell>
        </row>
        <row r="276">
          <cell r="O276" t="str">
            <v>Volquete y Scoop Cuneteado en Acceso a la Parilla</v>
          </cell>
        </row>
        <row r="277">
          <cell r="O277" t="str">
            <v xml:space="preserve"> Rampa 678  y 074 con  Excesiva Agua.</v>
          </cell>
        </row>
        <row r="278">
          <cell r="O278" t="str">
            <v>Demora Llegada de Volquetes a Parrilla - Extraccion Mineral Niveles 1650 y 1680</v>
          </cell>
        </row>
        <row r="279">
          <cell r="O279" t="str">
            <v>Sensor Temperatura Alta en Faja 1</v>
          </cell>
        </row>
        <row r="280">
          <cell r="O280" t="str">
            <v>Espera Reparacion Dossan.</v>
          </cell>
        </row>
        <row r="281">
          <cell r="O281" t="str">
            <v>Nv 1820 Transito Bloqueado - Choque de Volquete con Tuberia de Agua 4"</v>
          </cell>
        </row>
        <row r="282">
          <cell r="O282" t="str">
            <v>Nv 1650 Ob2 Tj  925 - Tajo Parado por Reparacion de Fogoneo de Cable Electrico</v>
          </cell>
        </row>
        <row r="283">
          <cell r="O283" t="str">
            <v>Parrilla 2 Parada por Falta de Ventilacion - Tablero Inoperativo</v>
          </cell>
        </row>
        <row r="284">
          <cell r="O284" t="str">
            <v>Volquetes salieron a Botadero + 100</v>
          </cell>
        </row>
        <row r="285">
          <cell r="O285" t="str">
            <v>Volquetes se Trasladaron a Botadero 100  - Chancado Primario Parado.</v>
          </cell>
        </row>
        <row r="286">
          <cell r="O286" t="str">
            <v>inspeccion rutinario  de equipo</v>
          </cell>
        </row>
        <row r="287">
          <cell r="O287" t="str">
            <v>atoro  de la cabeza de la  faja 5</v>
          </cell>
        </row>
        <row r="288">
          <cell r="O288" t="str">
            <v>Equipos Inoperativos Rp 678 y  Rp 074</v>
          </cell>
        </row>
        <row r="289">
          <cell r="O289" t="str">
            <v>Temperatura Alta en Faja N° 1</v>
          </cell>
        </row>
        <row r="290">
          <cell r="O290" t="str">
            <v xml:space="preserve"> falta de mineral en horario de salida</v>
          </cell>
        </row>
        <row r="291">
          <cell r="O291" t="str">
            <v>Scoop 15, 11, 16, en Talleres Inoperativos.</v>
          </cell>
        </row>
        <row r="292">
          <cell r="O292" t="str">
            <v>atore de chute faja 5</v>
          </cell>
        </row>
        <row r="293">
          <cell r="O293" t="str">
            <v xml:space="preserve">Falta de Mineral Por Inicio de Guardia </v>
          </cell>
        </row>
        <row r="294">
          <cell r="O294" t="str">
            <v xml:space="preserve"> falta de carga  por  reparto  de guardia</v>
          </cell>
        </row>
        <row r="295">
          <cell r="O295" t="str">
            <v xml:space="preserve">falta de mineral  por via struida  por equipo 282-6 por llanta baja   enoperativo en la via principal rp 678 1800 </v>
          </cell>
        </row>
        <row r="296">
          <cell r="O296" t="str">
            <v>sobrecarga de  faja 2</v>
          </cell>
        </row>
        <row r="297">
          <cell r="O297" t="str">
            <v>Sobrecarga en la Faja N°01/ Pullcord en la Faja N° 04</v>
          </cell>
        </row>
        <row r="298">
          <cell r="O298" t="str">
            <v>Rp 678  del 1820 al 1800 con Lodo por Desborde de Cuneta 1820.</v>
          </cell>
        </row>
        <row r="299">
          <cell r="O299" t="str">
            <v>Demora Abastecimiento Combustible  de Scoop - Cisterna Inoperativa (disco Embrage)</v>
          </cell>
        </row>
        <row r="300">
          <cell r="O300" t="str">
            <v>Parrilla 2  Rompebancos En Taller Soldadura, Parrilla 1  Volquete Con Banco Atascado en  Tolva.</v>
          </cell>
        </row>
        <row r="301">
          <cell r="O301" t="str">
            <v>Volquete America Inoperativo en Subida a Parrilla.</v>
          </cell>
        </row>
        <row r="302">
          <cell r="O302" t="str">
            <v>Corte de Energia en Interior Mina y Campamentos.</v>
          </cell>
        </row>
        <row r="303">
          <cell r="O303" t="str">
            <v xml:space="preserve">Reparacion del Arrancador de Faja 1 por Falla Electrica </v>
          </cell>
        </row>
        <row r="304">
          <cell r="O304" t="str">
            <v>Banco en Polea Faja 5.</v>
          </cell>
        </row>
        <row r="305">
          <cell r="O305" t="str">
            <v>Sobrecarga de la Chancadora Primaria</v>
          </cell>
        </row>
        <row r="306">
          <cell r="O306" t="str">
            <v>Parada de emergencia de la faja N° 01</v>
          </cell>
        </row>
        <row r="307">
          <cell r="O307" t="str">
            <v xml:space="preserve">Perdida Face en la Chancadora </v>
          </cell>
        </row>
        <row r="308">
          <cell r="O308" t="str">
            <v>Para por Falta de  Ventilacion en Chancado Primario</v>
          </cell>
        </row>
        <row r="309">
          <cell r="O309" t="str">
            <v>Cambio Manga de Ventilacion en Chancado Primario</v>
          </cell>
        </row>
        <row r="310">
          <cell r="O310" t="str">
            <v xml:space="preserve">Reparacion Corte Pasante Faja 1 B. </v>
          </cell>
        </row>
        <row r="311">
          <cell r="O311" t="str">
            <v>Parada Emergencia  Grizzly  Chancadora Primaria.</v>
          </cell>
        </row>
        <row r="312">
          <cell r="O312" t="str">
            <v>Activacion de Sensor de Rotura de la Faja Movil</v>
          </cell>
        </row>
        <row r="313">
          <cell r="O313" t="str">
            <v>a tore  de   chute  de la  cola  de  la  faja 4</v>
          </cell>
        </row>
        <row r="314">
          <cell r="O314" t="str">
            <v>Falta de Mineral  por  Equipo Doosan En Mantenimiento</v>
          </cell>
        </row>
        <row r="315">
          <cell r="O315" t="str">
            <v>Parada por Corte de Energia en la camara de Chancado Primario</v>
          </cell>
        </row>
        <row r="316">
          <cell r="O316" t="str">
            <v>Presencia de Bancos en Parrilla 1 /Alimentador 1B  Parado por Sobrecarga en Faja 1B</v>
          </cell>
        </row>
        <row r="317">
          <cell r="O317" t="str">
            <v>Horario Refrigerio / Alimentador 1B  Parado por Sobrecarga en Faja 1B</v>
          </cell>
        </row>
        <row r="318">
          <cell r="O318" t="str">
            <v>Reunion Sindicato (Chanchita Fulbito)</v>
          </cell>
        </row>
        <row r="319">
          <cell r="O319" t="str">
            <v>Paro Sindical</v>
          </cell>
        </row>
        <row r="320">
          <cell r="O320" t="str">
            <v xml:space="preserve">Revision de Equipos </v>
          </cell>
        </row>
        <row r="321">
          <cell r="O321" t="str">
            <v>Falta de  Operador en Chancado Primario</v>
          </cell>
        </row>
        <row r="322">
          <cell r="O322" t="str">
            <v>Falta de operador de rompebanco</v>
          </cell>
        </row>
        <row r="323">
          <cell r="O323" t="str">
            <v>Falta de Carga por Traslado de Equipo y demora en llegar a la Parrilla</v>
          </cell>
        </row>
        <row r="324">
          <cell r="O324" t="str">
            <v>Por Atore de Chute de  la  faja 5</v>
          </cell>
        </row>
        <row r="325">
          <cell r="O325" t="str">
            <v>Por Atore de Chute de  la  faja 3</v>
          </cell>
        </row>
        <row r="326">
          <cell r="O326" t="str">
            <v>Mantenimiento Programado; cambio de Muelas de la Chancadora</v>
          </cell>
        </row>
        <row r="327">
          <cell r="O327" t="str">
            <v>Traslado del Personal</v>
          </cell>
        </row>
        <row r="328">
          <cell r="O328" t="str">
            <v>Chequeo de la Labor</v>
          </cell>
        </row>
        <row r="329">
          <cell r="O329" t="str">
            <v>Traslado de los Volquetes a la Parrilla</v>
          </cell>
        </row>
        <row r="330">
          <cell r="O330" t="str">
            <v>Atoro en chute del Alimentador  (1 - A)</v>
          </cell>
        </row>
        <row r="331">
          <cell r="O331" t="str">
            <v>Activación del Sensor de Ruptura en Faja # 5</v>
          </cell>
        </row>
        <row r="332">
          <cell r="O332" t="str">
            <v>Problemas en la Faja N°3 por Desprendimiento</v>
          </cell>
        </row>
        <row r="333">
          <cell r="O333" t="str">
            <v>Horario Refrigerio</v>
          </cell>
        </row>
        <row r="334">
          <cell r="O334" t="str">
            <v xml:space="preserve">Se trabaja con un solo Doosan  desde media guardia hasta las 5 pm , or pocket vacios  por personal en refrigerio </v>
          </cell>
        </row>
        <row r="335">
          <cell r="O335" t="str">
            <v>Activación del Sensor en Faja # 3, tardan en solucionar el problema</v>
          </cell>
        </row>
        <row r="336">
          <cell r="O336" t="str">
            <v>Limpieza Faja N° 2</v>
          </cell>
        </row>
        <row r="337">
          <cell r="O337" t="str">
            <v>Falta de carga por equipo (no se abastece demasiado mneral)</v>
          </cell>
        </row>
        <row r="338">
          <cell r="O338" t="str">
            <v>Demora en llegar Volquetes a la Parrilla</v>
          </cell>
        </row>
        <row r="339">
          <cell r="O339" t="str">
            <v>Ore Pocket Vacios , Inicio  de guardia</v>
          </cell>
        </row>
        <row r="340">
          <cell r="O340" t="str">
            <v>Capacitacion de Seguridad</v>
          </cell>
        </row>
        <row r="341">
          <cell r="O341" t="str">
            <v xml:space="preserve">Parada por falta de Mineral por Capacitacion al Personal </v>
          </cell>
        </row>
        <row r="342">
          <cell r="O342" t="str">
            <v>Rotura de la Barra del Grizli</v>
          </cell>
        </row>
        <row r="343">
          <cell r="O343" t="str">
            <v>Problemas En el Tj 841 Nv 1770  y   Tj 004  (Manguera Rota y Demaciado bancos )</v>
          </cell>
        </row>
        <row r="344">
          <cell r="O344" t="str">
            <v xml:space="preserve">Problemas de Banqueo en los Tajos Tj 841 Nv 1770, Tj 004  Nv 1710 </v>
          </cell>
        </row>
        <row r="345">
          <cell r="O345" t="str">
            <v>Ore Pocket Vacios , por Equipo Simba N°4 Inoperativo en la Rp 074(Via Ostruida)</v>
          </cell>
        </row>
        <row r="346">
          <cell r="O346" t="str">
            <v xml:space="preserve">Ore pocket Vacio, Fin de Guardia </v>
          </cell>
        </row>
        <row r="347">
          <cell r="O347" t="str">
            <v>Volquetes ya no llegaron a la parrilla</v>
          </cell>
        </row>
        <row r="348">
          <cell r="O348" t="str">
            <v>Falso Arranque de la Faja N°02</v>
          </cell>
        </row>
        <row r="349">
          <cell r="O349" t="str">
            <v xml:space="preserve">Los Volquetes No Pueden Bajar  a la mina, debido al mucho Barro por la llivia </v>
          </cell>
        </row>
        <row r="350">
          <cell r="O350" t="str">
            <v>Sobrecarga Faja N° 1B</v>
          </cell>
        </row>
        <row r="351">
          <cell r="O351" t="str">
            <v>TRABAJOS DE MANTENIMIENTO FAJA 1</v>
          </cell>
        </row>
        <row r="352">
          <cell r="O352" t="str">
            <v xml:space="preserve">ATORO CHUTE FAJA 1 </v>
          </cell>
        </row>
        <row r="353">
          <cell r="O353" t="str">
            <v>PROBLEMA RAMPA 678 1770 - VOLQUETE DEJO CAER BANCOS OBSTRUYENDO PASE  1 HORA</v>
          </cell>
        </row>
        <row r="354">
          <cell r="O354" t="str">
            <v>ACTIVACION DE SENSOR DE ROTURA FAJA 4</v>
          </cell>
        </row>
        <row r="355">
          <cell r="O355" t="str">
            <v>Falso Arranque Faja N°2</v>
          </cell>
        </row>
        <row r="356">
          <cell r="O356" t="str">
            <v>Mantenimiento y cambio de Grikcly faja 3</v>
          </cell>
        </row>
        <row r="357">
          <cell r="O357" t="str">
            <v>Sobrecarga  de la  Faja 2 y Atore de Chuti  Faja 2</v>
          </cell>
        </row>
        <row r="358">
          <cell r="O358" t="str">
            <v>ABASTECIMIENTO DE COMBUSTIBLE SCOOP</v>
          </cell>
        </row>
        <row r="359">
          <cell r="O359" t="str">
            <v>ACTIVACION DE PULLCORD FAJA 3</v>
          </cell>
        </row>
        <row r="360">
          <cell r="O360" t="str">
            <v>ACTIVACION DE SENSOR DE ROTURA FAJA 3</v>
          </cell>
        </row>
        <row r="361">
          <cell r="O361" t="str">
            <v>SOBRECARGA FAJA 2</v>
          </cell>
        </row>
        <row r="362">
          <cell r="O362" t="str">
            <v>CUNETA 1820 RP 678 TAPADA, TODO EL AGUA BAJO POR RAMPA</v>
          </cell>
        </row>
        <row r="363">
          <cell r="O363" t="str">
            <v>Falta  de Combustible y Via Obstruida por  Voladura  Nv  1800</v>
          </cell>
        </row>
        <row r="364">
          <cell r="O364" t="str">
            <v>ATORO CHUTE FAJA 3</v>
          </cell>
        </row>
        <row r="365">
          <cell r="O365" t="str">
            <v>VERIFICACION Y TRASLADO DE EQUIPOS</v>
          </cell>
        </row>
        <row r="366">
          <cell r="O366" t="str">
            <v>DEMORA DE LLEGADA DE VOLQUETES A PARRILLAS(TAJOS A CONTROL)</v>
          </cell>
        </row>
        <row r="367">
          <cell r="O367" t="str">
            <v>PROBLEMAS EN SUB ESTACION CASUARINAS</v>
          </cell>
        </row>
        <row r="368">
          <cell r="O368" t="str">
            <v>PERSONAL EN HORARIO REFRIGERIO (NO SE PROGRAMO MEDIA GUARDIA X LEJANIA DE TAJOS)</v>
          </cell>
        </row>
        <row r="369">
          <cell r="O369" t="str">
            <v xml:space="preserve">No hubo pase por Cuneteó de Volquete de América en Nv 1820 Cx 3070  Perjudicando la Extracción de Mineral </v>
          </cell>
        </row>
        <row r="370">
          <cell r="O370" t="str">
            <v>chequeo de Equipo</v>
          </cell>
        </row>
        <row r="371">
          <cell r="O371" t="str">
            <v>Falta de Mineral Ore Poker Vacio,inicio de  turno</v>
          </cell>
        </row>
        <row r="372">
          <cell r="O372" t="str">
            <v>Mantenimiento</v>
          </cell>
        </row>
        <row r="373">
          <cell r="O373" t="str">
            <v>Activación de Pullcor Faja 1</v>
          </cell>
        </row>
        <row r="374">
          <cell r="O374" t="str">
            <v>Activación de Pullcor, atore de Chute Faja 5</v>
          </cell>
        </row>
        <row r="375">
          <cell r="O375" t="str">
            <v xml:space="preserve">ATORO CHUTE FAJA 5 </v>
          </cell>
        </row>
        <row r="376">
          <cell r="O376" t="str">
            <v>FALLA VARIADOR FAJA 5</v>
          </cell>
        </row>
        <row r="377">
          <cell r="O377" t="str">
            <v>SENSOR ROTURA DE FAJA 3</v>
          </cell>
        </row>
        <row r="378">
          <cell r="O378" t="str">
            <v>FALTA DE GARGA POR  HORARIO DE REFRIGERIO</v>
          </cell>
        </row>
        <row r="379">
          <cell r="O379" t="str">
            <v xml:space="preserve">Mantenimiento Correctivo de la Chancadora </v>
          </cell>
        </row>
        <row r="380">
          <cell r="O380" t="str">
            <v>INICIO DE LABORES / LLENADO DE ORE POCKET</v>
          </cell>
        </row>
        <row r="381">
          <cell r="O381" t="str">
            <v xml:space="preserve">RETORNO DE REFRIGERIO </v>
          </cell>
        </row>
        <row r="382">
          <cell r="O382" t="str">
            <v xml:space="preserve">PULLCORD FAJA 3 </v>
          </cell>
        </row>
        <row r="383">
          <cell r="O383" t="str">
            <v>CHEQUEO DE EQUIPO Y ABASTECIMIENTO DE COMBUSTIBLE</v>
          </cell>
        </row>
        <row r="384">
          <cell r="O384" t="str">
            <v xml:space="preserve">Traslado de Personal/chequeo de Equipos </v>
          </cell>
        </row>
        <row r="385">
          <cell r="O385" t="str">
            <v xml:space="preserve">Nivel Alto en Stock de Gruesos </v>
          </cell>
        </row>
        <row r="386">
          <cell r="O386" t="str">
            <v xml:space="preserve">Corte de Energia/ Falta de ventilacion </v>
          </cell>
        </row>
        <row r="387">
          <cell r="O387" t="str">
            <v>Reparacion del Alimentador N°01B</v>
          </cell>
        </row>
        <row r="388">
          <cell r="O388" t="str">
            <v xml:space="preserve">Traslado de Personal a las Labores </v>
          </cell>
        </row>
        <row r="389">
          <cell r="O389" t="str">
            <v xml:space="preserve">Chequeo de Equipos y Traslado de Equipos a las Labores </v>
          </cell>
        </row>
        <row r="390">
          <cell r="O390" t="str">
            <v xml:space="preserve">Charla de De Seguridad con el Personal en Mina </v>
          </cell>
        </row>
        <row r="391">
          <cell r="O391" t="str">
            <v xml:space="preserve">Falta de Mineral por Voquetes Inoperativos en la Rp 678 y Acceso a la Parrilla </v>
          </cell>
        </row>
        <row r="392">
          <cell r="O392" t="str">
            <v xml:space="preserve">Parada por Rotura de Cable Electrico,  Por la Empresa Etranserge, Cable energizado en la via   Nv 1820, </v>
          </cell>
        </row>
        <row r="393">
          <cell r="O393" t="str">
            <v>Volquetes Atrapados en Rp 074 Nv 1740 Tuberias de  Agua y Aire en  el Piso , Obstaculisando la Via</v>
          </cell>
        </row>
        <row r="394">
          <cell r="O394" t="str">
            <v xml:space="preserve">LLLENADO DE PARRILLAS - INICIO DE GUARDIA </v>
          </cell>
        </row>
        <row r="395">
          <cell r="O395" t="str">
            <v>PULLCORD FAJA 5 - NIVEL ALTO EN STOCK DE GRUESOS</v>
          </cell>
        </row>
        <row r="396">
          <cell r="O396" t="str">
            <v xml:space="preserve">SE ACABO EL MINERAL EN TAJO PROGRAMADO TJ 856 DE 12 A 1 </v>
          </cell>
        </row>
        <row r="397">
          <cell r="O397" t="str">
            <v>ATORO CHUTE FAJA 5</v>
          </cell>
        </row>
        <row r="398">
          <cell r="O398" t="str">
            <v xml:space="preserve">FALLA ELECTRICA EN EL ARRANQUE DE LA FAJA # 2 </v>
          </cell>
        </row>
        <row r="399">
          <cell r="O399" t="str">
            <v>PULLCORD EN FAJA # 4</v>
          </cell>
        </row>
        <row r="400">
          <cell r="O400" t="str">
            <v>Perdida de comunicación de equipos entre chancado Y planta</v>
          </cell>
        </row>
        <row r="401">
          <cell r="O401" t="str">
            <v>Fogoneo de cable eléctrico en sub estación casuarinas/ falta de ventilación</v>
          </cell>
        </row>
        <row r="402">
          <cell r="O402" t="str">
            <v xml:space="preserve">Caída de tensión OB5 problemas sub estación casuarinas / falta ventilación </v>
          </cell>
        </row>
        <row r="403">
          <cell r="O403" t="str">
            <v>Demora llegada volquetes tajo programado  014 1680 (12 a 1pm)</v>
          </cell>
        </row>
        <row r="404">
          <cell r="O404" t="str">
            <v xml:space="preserve">Problemas eléctricos en faja 5 con la fala móvil </v>
          </cell>
        </row>
        <row r="405">
          <cell r="O405" t="str">
            <v xml:space="preserve">Volquete american inoperativo en Rp  678  1770 </v>
          </cell>
        </row>
        <row r="406">
          <cell r="O406" t="str">
            <v>Rotura de faja 3 (hueco en faja se colocan grapas)</v>
          </cell>
        </row>
        <row r="407">
          <cell r="O407" t="str">
            <v xml:space="preserve">Faja 5 - nivel de stock de gruesos alto. </v>
          </cell>
        </row>
        <row r="408">
          <cell r="O408" t="str">
            <v xml:space="preserve">Baja demasiada agua por el alimentador #2 </v>
          </cell>
        </row>
        <row r="409">
          <cell r="O409" t="str">
            <v>Faja 1 , desalineamiento lado izquierdo</v>
          </cell>
        </row>
        <row r="410">
          <cell r="O410" t="str">
            <v>Volquetes salieron a cargar desmonte Nv 1830 Rp 010(superficie)</v>
          </cell>
        </row>
        <row r="411">
          <cell r="O411" t="str">
            <v xml:space="preserve">Atoro del alimentador 1b - alimentador 1a vacío  </v>
          </cell>
        </row>
        <row r="412">
          <cell r="O412" t="str">
            <v>Parrillas vacías fin de guarda</v>
          </cell>
        </row>
        <row r="413">
          <cell r="O413" t="str">
            <v xml:space="preserve">Demora iniciar: Scoop 12 inoperativo / operador Scoop 22 capacitación/tj 131 inundado/ american ingreso 10 am </v>
          </cell>
        </row>
        <row r="414">
          <cell r="O414" t="str">
            <v>Faja 5  - stock de gruesos lleno (parrillas llenas, volquetes salieron a chancha +100)</v>
          </cell>
        </row>
        <row r="415">
          <cell r="O415" t="str">
            <v xml:space="preserve">Faja 5  - stock de gruesos lleno </v>
          </cell>
        </row>
        <row r="416">
          <cell r="O416" t="str">
            <v>Mantenimiento Correctivo en la Faja N° 05</v>
          </cell>
        </row>
        <row r="417">
          <cell r="O417" t="str">
            <v>Mantenimiento programado planta (circuito de fajas y grizzly)</v>
          </cell>
        </row>
      </sheetData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536"/>
  <sheetViews>
    <sheetView showGridLines="0" tabSelected="1" workbookViewId="0">
      <pane ySplit="3" topLeftCell="A4" activePane="bottomLeft" state="frozen"/>
      <selection pane="bottomLeft" activeCell="B8" sqref="B8"/>
    </sheetView>
  </sheetViews>
  <sheetFormatPr baseColWidth="10" defaultRowHeight="15" x14ac:dyDescent="0.2"/>
  <cols>
    <col min="1" max="1" width="10.83203125" style="4"/>
    <col min="2" max="2" width="10.83203125" style="8"/>
    <col min="3" max="3" width="19.6640625" bestFit="1" customWidth="1"/>
    <col min="4" max="4" width="10.5" style="8" customWidth="1"/>
    <col min="5" max="5" width="13.83203125" style="8" customWidth="1"/>
    <col min="6" max="6" width="19.6640625" style="4" customWidth="1"/>
    <col min="7" max="7" width="11.1640625" bestFit="1" customWidth="1"/>
  </cols>
  <sheetData>
    <row r="2" spans="1:9" ht="16" thickBot="1" x14ac:dyDescent="0.25"/>
    <row r="3" spans="1:9" ht="16" x14ac:dyDescent="0.2">
      <c r="A3" s="9" t="s">
        <v>0</v>
      </c>
      <c r="B3" s="9" t="s">
        <v>1</v>
      </c>
      <c r="C3" s="10" t="s">
        <v>3</v>
      </c>
      <c r="D3" s="10" t="s">
        <v>194</v>
      </c>
      <c r="E3" s="10" t="s">
        <v>2</v>
      </c>
      <c r="F3" s="10" t="s">
        <v>195</v>
      </c>
      <c r="G3" s="10" t="s">
        <v>73</v>
      </c>
      <c r="H3" s="10" t="s">
        <v>74</v>
      </c>
      <c r="I3" s="11" t="s">
        <v>193</v>
      </c>
    </row>
    <row r="4" spans="1:9" x14ac:dyDescent="0.2">
      <c r="A4" s="17">
        <v>44044</v>
      </c>
      <c r="B4" s="8" t="s">
        <v>4</v>
      </c>
      <c r="C4" t="s">
        <v>77</v>
      </c>
      <c r="D4" s="8" t="str">
        <f>MID(C4,FIND("OB",C4),3)</f>
        <v>OB6</v>
      </c>
      <c r="E4" s="8" t="str">
        <f>MID(C4,FIND("_",C4)+1,4)</f>
        <v>1880</v>
      </c>
      <c r="F4" s="4" t="str">
        <f>_xlfn.CONCAT(D4,"_",E4)</f>
        <v>OB6_1880</v>
      </c>
      <c r="G4">
        <v>2500</v>
      </c>
      <c r="H4">
        <v>2200</v>
      </c>
      <c r="I4" s="14">
        <v>0.88</v>
      </c>
    </row>
    <row r="5" spans="1:9" x14ac:dyDescent="0.2">
      <c r="A5" s="17">
        <v>44044</v>
      </c>
      <c r="B5" s="8" t="s">
        <v>4</v>
      </c>
      <c r="C5" t="s">
        <v>78</v>
      </c>
      <c r="D5" s="8" t="str">
        <f t="shared" ref="D5:D68" si="0">MID(C5,FIND("OB",C5),3)</f>
        <v>OB5</v>
      </c>
      <c r="E5" s="8" t="str">
        <f t="shared" ref="E5:E68" si="1">MID(C5,FIND("_",C5)+1,4)</f>
        <v>1680</v>
      </c>
      <c r="F5" s="4" t="str">
        <f t="shared" ref="F5:F68" si="2">_xlfn.CONCAT(D5,"_",E5)</f>
        <v>OB5_1680</v>
      </c>
      <c r="G5">
        <v>1000</v>
      </c>
      <c r="H5">
        <v>1200</v>
      </c>
      <c r="I5" s="14">
        <v>1.2</v>
      </c>
    </row>
    <row r="6" spans="1:9" x14ac:dyDescent="0.2">
      <c r="A6" s="17">
        <v>44044</v>
      </c>
      <c r="B6" s="8" t="s">
        <v>4</v>
      </c>
      <c r="C6" t="s">
        <v>79</v>
      </c>
      <c r="D6" s="8" t="str">
        <f t="shared" si="0"/>
        <v>OB1</v>
      </c>
      <c r="E6" s="8" t="str">
        <f t="shared" si="1"/>
        <v>1640</v>
      </c>
      <c r="F6" s="4" t="str">
        <f t="shared" si="2"/>
        <v>OB1_1640</v>
      </c>
      <c r="G6">
        <v>2500</v>
      </c>
      <c r="H6">
        <v>3010</v>
      </c>
      <c r="I6" s="14">
        <v>1.204</v>
      </c>
    </row>
    <row r="7" spans="1:9" x14ac:dyDescent="0.2">
      <c r="A7" s="17">
        <v>44044</v>
      </c>
      <c r="B7" s="8" t="s">
        <v>4</v>
      </c>
      <c r="C7" t="s">
        <v>80</v>
      </c>
      <c r="D7" s="8" t="str">
        <f t="shared" si="0"/>
        <v>OB1</v>
      </c>
      <c r="E7" s="8" t="str">
        <f t="shared" si="1"/>
        <v>1600</v>
      </c>
      <c r="F7" s="4" t="str">
        <f t="shared" si="2"/>
        <v>OB1_1600</v>
      </c>
      <c r="G7">
        <v>1500</v>
      </c>
      <c r="H7">
        <v>1920</v>
      </c>
      <c r="I7" s="14">
        <v>1.28</v>
      </c>
    </row>
    <row r="8" spans="1:9" x14ac:dyDescent="0.2">
      <c r="A8" s="17">
        <v>44044</v>
      </c>
      <c r="B8" s="8" t="s">
        <v>4</v>
      </c>
      <c r="C8" t="s">
        <v>81</v>
      </c>
      <c r="D8" s="8" t="str">
        <f t="shared" si="0"/>
        <v>OB6</v>
      </c>
      <c r="E8" s="8" t="str">
        <f t="shared" si="1"/>
        <v>1600</v>
      </c>
      <c r="F8" s="4" t="str">
        <f t="shared" si="2"/>
        <v>OB6_1600</v>
      </c>
      <c r="G8">
        <v>2500</v>
      </c>
      <c r="H8">
        <v>1080</v>
      </c>
      <c r="I8" s="14">
        <v>0.432</v>
      </c>
    </row>
    <row r="9" spans="1:9" x14ac:dyDescent="0.2">
      <c r="A9" s="17">
        <v>44044</v>
      </c>
      <c r="B9" s="8" t="s">
        <v>5</v>
      </c>
      <c r="C9" t="s">
        <v>77</v>
      </c>
      <c r="D9" s="8" t="str">
        <f t="shared" si="0"/>
        <v>OB6</v>
      </c>
      <c r="E9" s="8" t="str">
        <f t="shared" si="1"/>
        <v>1880</v>
      </c>
      <c r="F9" s="4" t="str">
        <f t="shared" si="2"/>
        <v>OB6_1880</v>
      </c>
      <c r="G9">
        <v>2000</v>
      </c>
      <c r="H9">
        <v>0</v>
      </c>
      <c r="I9" s="14">
        <v>0</v>
      </c>
    </row>
    <row r="10" spans="1:9" x14ac:dyDescent="0.2">
      <c r="A10" s="17">
        <v>44044</v>
      </c>
      <c r="B10" s="8" t="s">
        <v>5</v>
      </c>
      <c r="C10" t="s">
        <v>82</v>
      </c>
      <c r="D10" s="8" t="str">
        <f t="shared" si="0"/>
        <v>OB6</v>
      </c>
      <c r="E10" s="8" t="str">
        <f>MID(C10,FIND("-",C10)+7,4)</f>
        <v>1910</v>
      </c>
      <c r="F10" s="4" t="str">
        <f t="shared" si="2"/>
        <v>OB6_1910</v>
      </c>
      <c r="G10">
        <v>400</v>
      </c>
      <c r="H10">
        <v>0</v>
      </c>
      <c r="I10" s="14">
        <v>0</v>
      </c>
    </row>
    <row r="11" spans="1:9" x14ac:dyDescent="0.2">
      <c r="A11" s="17">
        <v>44044</v>
      </c>
      <c r="B11" s="8" t="s">
        <v>5</v>
      </c>
      <c r="C11" t="s">
        <v>83</v>
      </c>
      <c r="D11" s="8" t="str">
        <f t="shared" si="0"/>
        <v>OB5</v>
      </c>
      <c r="E11" s="8" t="str">
        <f t="shared" si="1"/>
        <v>1710</v>
      </c>
      <c r="F11" s="4" t="str">
        <f t="shared" si="2"/>
        <v>OB5_1710</v>
      </c>
      <c r="G11">
        <v>100</v>
      </c>
      <c r="H11">
        <v>1600</v>
      </c>
      <c r="I11" s="14">
        <v>16</v>
      </c>
    </row>
    <row r="12" spans="1:9" x14ac:dyDescent="0.2">
      <c r="A12" s="17">
        <v>44044</v>
      </c>
      <c r="B12" s="8" t="s">
        <v>5</v>
      </c>
      <c r="C12" t="s">
        <v>78</v>
      </c>
      <c r="D12" s="8" t="str">
        <f t="shared" si="0"/>
        <v>OB5</v>
      </c>
      <c r="E12" s="8" t="str">
        <f t="shared" si="1"/>
        <v>1680</v>
      </c>
      <c r="F12" s="4" t="str">
        <f t="shared" si="2"/>
        <v>OB5_1680</v>
      </c>
      <c r="G12">
        <v>1500</v>
      </c>
      <c r="H12">
        <v>1640</v>
      </c>
      <c r="I12" s="14">
        <v>1.0933333333333333</v>
      </c>
    </row>
    <row r="13" spans="1:9" x14ac:dyDescent="0.2">
      <c r="A13" s="17">
        <v>44044</v>
      </c>
      <c r="B13" s="8" t="s">
        <v>5</v>
      </c>
      <c r="C13" t="s">
        <v>79</v>
      </c>
      <c r="D13" s="8" t="str">
        <f t="shared" si="0"/>
        <v>OB1</v>
      </c>
      <c r="E13" s="8" t="str">
        <f t="shared" si="1"/>
        <v>1640</v>
      </c>
      <c r="F13" s="4" t="str">
        <f t="shared" si="2"/>
        <v>OB1_1640</v>
      </c>
      <c r="G13">
        <v>2500</v>
      </c>
      <c r="H13">
        <v>1360</v>
      </c>
      <c r="I13" s="14">
        <v>0.54400000000000004</v>
      </c>
    </row>
    <row r="14" spans="1:9" x14ac:dyDescent="0.2">
      <c r="A14" s="17">
        <v>44044</v>
      </c>
      <c r="B14" s="8" t="s">
        <v>5</v>
      </c>
      <c r="C14" t="s">
        <v>80</v>
      </c>
      <c r="D14" s="8" t="str">
        <f t="shared" si="0"/>
        <v>OB1</v>
      </c>
      <c r="E14" s="8" t="str">
        <f t="shared" si="1"/>
        <v>1600</v>
      </c>
      <c r="F14" s="4" t="str">
        <f t="shared" si="2"/>
        <v>OB1_1600</v>
      </c>
      <c r="G14">
        <v>2000</v>
      </c>
      <c r="H14">
        <v>2140</v>
      </c>
      <c r="I14" s="14">
        <v>1.07</v>
      </c>
    </row>
    <row r="15" spans="1:9" x14ac:dyDescent="0.2">
      <c r="A15" s="17">
        <v>44045</v>
      </c>
      <c r="B15" s="8" t="s">
        <v>4</v>
      </c>
      <c r="C15" t="s">
        <v>84</v>
      </c>
      <c r="D15" s="8" t="str">
        <f t="shared" si="0"/>
        <v>OB6</v>
      </c>
      <c r="E15" s="8" t="str">
        <f>MID(C15,FIND("-",C15)+7,4)</f>
        <v>1910</v>
      </c>
      <c r="F15" s="4" t="str">
        <f t="shared" si="2"/>
        <v>OB6_1910</v>
      </c>
      <c r="G15">
        <v>400</v>
      </c>
      <c r="H15">
        <v>0</v>
      </c>
      <c r="I15" s="14">
        <v>0</v>
      </c>
    </row>
    <row r="16" spans="1:9" x14ac:dyDescent="0.2">
      <c r="A16" s="17">
        <v>44045</v>
      </c>
      <c r="B16" s="8" t="s">
        <v>4</v>
      </c>
      <c r="C16" t="s">
        <v>85</v>
      </c>
      <c r="D16" s="8" t="str">
        <f t="shared" si="0"/>
        <v>OB6</v>
      </c>
      <c r="E16" s="8" t="str">
        <f>MID(C16,FIND("-",C16)+7,4)</f>
        <v>1910</v>
      </c>
      <c r="F16" s="4" t="str">
        <f t="shared" si="2"/>
        <v>OB6_1910</v>
      </c>
      <c r="G16">
        <v>400</v>
      </c>
      <c r="H16">
        <v>0</v>
      </c>
      <c r="I16" s="14">
        <v>0</v>
      </c>
    </row>
    <row r="17" spans="1:9" x14ac:dyDescent="0.2">
      <c r="A17" s="17">
        <v>44045</v>
      </c>
      <c r="B17" s="8" t="s">
        <v>4</v>
      </c>
      <c r="C17" t="s">
        <v>86</v>
      </c>
      <c r="D17" s="8" t="str">
        <f t="shared" si="0"/>
        <v>OB6</v>
      </c>
      <c r="E17" s="8" t="str">
        <f>MID(C17,FIND("-",C17)+7,4)</f>
        <v>1910</v>
      </c>
      <c r="F17" s="4" t="str">
        <f t="shared" si="2"/>
        <v>OB6_1910</v>
      </c>
      <c r="G17">
        <v>400</v>
      </c>
      <c r="H17">
        <v>1280</v>
      </c>
      <c r="I17" s="14">
        <v>3.2</v>
      </c>
    </row>
    <row r="18" spans="1:9" x14ac:dyDescent="0.2">
      <c r="A18" s="17">
        <v>44045</v>
      </c>
      <c r="B18" s="8" t="s">
        <v>4</v>
      </c>
      <c r="C18" t="s">
        <v>87</v>
      </c>
      <c r="D18" s="8" t="str">
        <f t="shared" si="0"/>
        <v>OB9</v>
      </c>
      <c r="E18" s="8" t="str">
        <f>MID(C18,FIND("-",C18)+7,4)</f>
        <v>1850</v>
      </c>
      <c r="F18" s="4" t="str">
        <f t="shared" si="2"/>
        <v>OB9_1850</v>
      </c>
      <c r="G18">
        <v>400</v>
      </c>
      <c r="H18">
        <v>665</v>
      </c>
      <c r="I18" s="14">
        <v>1.6625000000000001</v>
      </c>
    </row>
    <row r="19" spans="1:9" x14ac:dyDescent="0.2">
      <c r="A19" s="17">
        <v>44045</v>
      </c>
      <c r="B19" s="8" t="s">
        <v>4</v>
      </c>
      <c r="C19" t="s">
        <v>83</v>
      </c>
      <c r="D19" s="8" t="str">
        <f t="shared" si="0"/>
        <v>OB5</v>
      </c>
      <c r="E19" s="8" t="str">
        <f t="shared" si="1"/>
        <v>1710</v>
      </c>
      <c r="F19" s="4" t="str">
        <f t="shared" si="2"/>
        <v>OB5_1710</v>
      </c>
      <c r="G19">
        <v>1400</v>
      </c>
      <c r="H19">
        <v>1200</v>
      </c>
      <c r="I19" s="14">
        <v>0.8571428571428571</v>
      </c>
    </row>
    <row r="20" spans="1:9" x14ac:dyDescent="0.2">
      <c r="A20" s="17">
        <v>44045</v>
      </c>
      <c r="B20" s="8" t="s">
        <v>4</v>
      </c>
      <c r="C20" t="s">
        <v>78</v>
      </c>
      <c r="D20" s="8" t="str">
        <f t="shared" si="0"/>
        <v>OB5</v>
      </c>
      <c r="E20" s="8" t="str">
        <f t="shared" si="1"/>
        <v>1680</v>
      </c>
      <c r="F20" s="4" t="str">
        <f t="shared" si="2"/>
        <v>OB5_1680</v>
      </c>
      <c r="G20">
        <v>1500</v>
      </c>
      <c r="H20">
        <v>1200</v>
      </c>
      <c r="I20" s="14">
        <v>0.8</v>
      </c>
    </row>
    <row r="21" spans="1:9" x14ac:dyDescent="0.2">
      <c r="A21" s="17">
        <v>44045</v>
      </c>
      <c r="B21" s="8" t="s">
        <v>4</v>
      </c>
      <c r="C21" t="s">
        <v>79</v>
      </c>
      <c r="D21" s="8" t="str">
        <f t="shared" si="0"/>
        <v>OB1</v>
      </c>
      <c r="E21" s="8" t="str">
        <f t="shared" si="1"/>
        <v>1640</v>
      </c>
      <c r="F21" s="4" t="str">
        <f t="shared" si="2"/>
        <v>OB1_1640</v>
      </c>
      <c r="G21">
        <v>2500</v>
      </c>
      <c r="H21">
        <v>2440</v>
      </c>
      <c r="I21" s="14">
        <v>0.97599999999999998</v>
      </c>
    </row>
    <row r="22" spans="1:9" x14ac:dyDescent="0.2">
      <c r="A22" s="17">
        <v>44045</v>
      </c>
      <c r="B22" s="8" t="s">
        <v>4</v>
      </c>
      <c r="C22" t="s">
        <v>80</v>
      </c>
      <c r="D22" s="8" t="str">
        <f t="shared" si="0"/>
        <v>OB1</v>
      </c>
      <c r="E22" s="8" t="str">
        <f t="shared" si="1"/>
        <v>1600</v>
      </c>
      <c r="F22" s="4" t="str">
        <f t="shared" si="2"/>
        <v>OB1_1600</v>
      </c>
      <c r="G22">
        <v>2000</v>
      </c>
      <c r="H22">
        <v>1920</v>
      </c>
      <c r="I22" s="14">
        <v>0.96</v>
      </c>
    </row>
    <row r="23" spans="1:9" x14ac:dyDescent="0.2">
      <c r="A23" s="17">
        <v>44045</v>
      </c>
      <c r="B23" s="8" t="s">
        <v>5</v>
      </c>
      <c r="C23" t="s">
        <v>77</v>
      </c>
      <c r="D23" s="8" t="str">
        <f t="shared" si="0"/>
        <v>OB6</v>
      </c>
      <c r="E23" s="8" t="str">
        <f t="shared" si="1"/>
        <v>1880</v>
      </c>
      <c r="F23" s="4" t="str">
        <f t="shared" si="2"/>
        <v>OB6_1880</v>
      </c>
      <c r="G23">
        <v>2000</v>
      </c>
      <c r="H23">
        <v>0</v>
      </c>
      <c r="I23" s="14">
        <v>0</v>
      </c>
    </row>
    <row r="24" spans="1:9" x14ac:dyDescent="0.2">
      <c r="A24" s="17">
        <v>44045</v>
      </c>
      <c r="B24" s="8" t="s">
        <v>5</v>
      </c>
      <c r="C24" t="s">
        <v>84</v>
      </c>
      <c r="D24" s="8" t="str">
        <f t="shared" si="0"/>
        <v>OB6</v>
      </c>
      <c r="E24" s="8" t="str">
        <f>MID(C24,FIND("-",C24)+7,4)</f>
        <v>1910</v>
      </c>
      <c r="F24" s="4" t="str">
        <f t="shared" si="2"/>
        <v>OB6_1910</v>
      </c>
      <c r="G24">
        <v>500</v>
      </c>
      <c r="H24">
        <v>490</v>
      </c>
      <c r="I24" s="14">
        <v>0.98</v>
      </c>
    </row>
    <row r="25" spans="1:9" x14ac:dyDescent="0.2">
      <c r="A25" s="17">
        <v>44045</v>
      </c>
      <c r="B25" s="8" t="s">
        <v>5</v>
      </c>
      <c r="C25" t="s">
        <v>83</v>
      </c>
      <c r="D25" s="8" t="str">
        <f t="shared" si="0"/>
        <v>OB5</v>
      </c>
      <c r="E25" s="8" t="str">
        <f t="shared" si="1"/>
        <v>1710</v>
      </c>
      <c r="F25" s="4" t="str">
        <f t="shared" si="2"/>
        <v>OB5_1710</v>
      </c>
      <c r="G25">
        <v>1500</v>
      </c>
      <c r="H25">
        <v>1360</v>
      </c>
      <c r="I25" s="14">
        <v>0.90666666666666662</v>
      </c>
    </row>
    <row r="26" spans="1:9" x14ac:dyDescent="0.2">
      <c r="A26" s="17">
        <v>44045</v>
      </c>
      <c r="B26" s="8" t="s">
        <v>5</v>
      </c>
      <c r="C26" t="s">
        <v>78</v>
      </c>
      <c r="D26" s="8" t="str">
        <f t="shared" si="0"/>
        <v>OB5</v>
      </c>
      <c r="E26" s="8" t="str">
        <f t="shared" si="1"/>
        <v>1680</v>
      </c>
      <c r="F26" s="4" t="str">
        <f t="shared" si="2"/>
        <v>OB5_1680</v>
      </c>
      <c r="G26">
        <v>600</v>
      </c>
      <c r="H26">
        <v>1000</v>
      </c>
      <c r="I26" s="14">
        <v>1.6666666666666667</v>
      </c>
    </row>
    <row r="27" spans="1:9" x14ac:dyDescent="0.2">
      <c r="A27" s="17">
        <v>44045</v>
      </c>
      <c r="B27" s="8" t="s">
        <v>5</v>
      </c>
      <c r="C27" t="s">
        <v>80</v>
      </c>
      <c r="D27" s="8" t="str">
        <f t="shared" si="0"/>
        <v>OB1</v>
      </c>
      <c r="E27" s="8" t="str">
        <f t="shared" si="1"/>
        <v>1600</v>
      </c>
      <c r="F27" s="4" t="str">
        <f t="shared" si="2"/>
        <v>OB1_1600</v>
      </c>
      <c r="G27">
        <v>2000</v>
      </c>
      <c r="H27">
        <v>1790</v>
      </c>
      <c r="I27" s="14">
        <v>0.89500000000000002</v>
      </c>
    </row>
    <row r="28" spans="1:9" x14ac:dyDescent="0.2">
      <c r="A28" s="17">
        <v>44045</v>
      </c>
      <c r="B28" s="8" t="s">
        <v>5</v>
      </c>
      <c r="C28" t="s">
        <v>81</v>
      </c>
      <c r="D28" s="8" t="str">
        <f t="shared" si="0"/>
        <v>OB6</v>
      </c>
      <c r="E28" s="8" t="str">
        <f t="shared" si="1"/>
        <v>1600</v>
      </c>
      <c r="F28" s="4" t="str">
        <f t="shared" si="2"/>
        <v>OB6_1600</v>
      </c>
      <c r="G28">
        <v>2500</v>
      </c>
      <c r="H28">
        <v>1800</v>
      </c>
      <c r="I28" s="14">
        <v>0.72</v>
      </c>
    </row>
    <row r="29" spans="1:9" x14ac:dyDescent="0.2">
      <c r="A29" s="17">
        <v>44046</v>
      </c>
      <c r="B29" s="8" t="s">
        <v>4</v>
      </c>
      <c r="C29" t="s">
        <v>84</v>
      </c>
      <c r="D29" s="8" t="str">
        <f t="shared" si="0"/>
        <v>OB6</v>
      </c>
      <c r="E29" s="8" t="str">
        <f>MID(C29,FIND("-",C29)+7,4)</f>
        <v>1910</v>
      </c>
      <c r="F29" s="4" t="str">
        <f t="shared" si="2"/>
        <v>OB6_1910</v>
      </c>
      <c r="G29">
        <v>700</v>
      </c>
      <c r="H29">
        <v>480</v>
      </c>
      <c r="I29" s="14">
        <v>0.68571428571428572</v>
      </c>
    </row>
    <row r="30" spans="1:9" x14ac:dyDescent="0.2">
      <c r="A30" s="17">
        <v>44046</v>
      </c>
      <c r="B30" s="8" t="s">
        <v>4</v>
      </c>
      <c r="C30" t="s">
        <v>83</v>
      </c>
      <c r="D30" s="8" t="str">
        <f t="shared" si="0"/>
        <v>OB5</v>
      </c>
      <c r="E30" s="8" t="str">
        <f t="shared" si="1"/>
        <v>1710</v>
      </c>
      <c r="F30" s="4" t="str">
        <f t="shared" si="2"/>
        <v>OB5_1710</v>
      </c>
      <c r="G30">
        <v>1200</v>
      </c>
      <c r="H30">
        <v>1600</v>
      </c>
      <c r="I30" s="14">
        <v>1.3333333333333333</v>
      </c>
    </row>
    <row r="31" spans="1:9" x14ac:dyDescent="0.2">
      <c r="A31" s="17">
        <v>44046</v>
      </c>
      <c r="B31" s="8" t="s">
        <v>4</v>
      </c>
      <c r="C31" t="s">
        <v>78</v>
      </c>
      <c r="D31" s="8" t="str">
        <f t="shared" si="0"/>
        <v>OB5</v>
      </c>
      <c r="E31" s="8" t="str">
        <f t="shared" si="1"/>
        <v>1680</v>
      </c>
      <c r="F31" s="4" t="str">
        <f t="shared" si="2"/>
        <v>OB5_1680</v>
      </c>
      <c r="G31">
        <v>1000</v>
      </c>
      <c r="H31">
        <v>1120</v>
      </c>
      <c r="I31" s="14">
        <v>1.1200000000000001</v>
      </c>
    </row>
    <row r="32" spans="1:9" x14ac:dyDescent="0.2">
      <c r="A32" s="17">
        <v>44046</v>
      </c>
      <c r="B32" s="8" t="s">
        <v>4</v>
      </c>
      <c r="C32" t="s">
        <v>79</v>
      </c>
      <c r="D32" s="8" t="str">
        <f t="shared" si="0"/>
        <v>OB1</v>
      </c>
      <c r="E32" s="8" t="str">
        <f t="shared" si="1"/>
        <v>1640</v>
      </c>
      <c r="F32" s="4" t="str">
        <f t="shared" si="2"/>
        <v>OB1_1640</v>
      </c>
      <c r="G32">
        <v>2500</v>
      </c>
      <c r="H32">
        <v>2320</v>
      </c>
      <c r="I32" s="14">
        <v>0.92800000000000005</v>
      </c>
    </row>
    <row r="33" spans="1:9" x14ac:dyDescent="0.2">
      <c r="A33" s="17">
        <v>44046</v>
      </c>
      <c r="B33" s="8" t="s">
        <v>4</v>
      </c>
      <c r="C33" t="s">
        <v>80</v>
      </c>
      <c r="D33" s="8" t="str">
        <f t="shared" si="0"/>
        <v>OB1</v>
      </c>
      <c r="E33" s="8" t="str">
        <f t="shared" si="1"/>
        <v>1600</v>
      </c>
      <c r="F33" s="4" t="str">
        <f t="shared" si="2"/>
        <v>OB1_1600</v>
      </c>
      <c r="G33">
        <v>1200</v>
      </c>
      <c r="H33">
        <v>640</v>
      </c>
      <c r="I33" s="14">
        <v>0.53333333333333333</v>
      </c>
    </row>
    <row r="34" spans="1:9" x14ac:dyDescent="0.2">
      <c r="A34" s="17">
        <v>44046</v>
      </c>
      <c r="B34" s="8" t="s">
        <v>4</v>
      </c>
      <c r="C34" t="s">
        <v>81</v>
      </c>
      <c r="D34" s="8" t="str">
        <f t="shared" si="0"/>
        <v>OB6</v>
      </c>
      <c r="E34" s="8" t="str">
        <f t="shared" si="1"/>
        <v>1600</v>
      </c>
      <c r="F34" s="4" t="str">
        <f t="shared" si="2"/>
        <v>OB6_1600</v>
      </c>
      <c r="G34">
        <v>2500</v>
      </c>
      <c r="H34">
        <v>2600</v>
      </c>
      <c r="I34" s="14">
        <v>1.04</v>
      </c>
    </row>
    <row r="35" spans="1:9" x14ac:dyDescent="0.2">
      <c r="A35" s="17">
        <v>44046</v>
      </c>
      <c r="B35" s="8" t="s">
        <v>5</v>
      </c>
      <c r="C35" t="s">
        <v>84</v>
      </c>
      <c r="D35" s="8" t="str">
        <f t="shared" si="0"/>
        <v>OB6</v>
      </c>
      <c r="E35" s="8" t="str">
        <f>MID(C35,FIND("-",C35)+7,4)</f>
        <v>1910</v>
      </c>
      <c r="F35" s="4" t="str">
        <f t="shared" si="2"/>
        <v>OB6_1910</v>
      </c>
      <c r="G35">
        <v>700</v>
      </c>
      <c r="H35">
        <v>145</v>
      </c>
      <c r="I35" s="14">
        <v>0.20714285714285716</v>
      </c>
    </row>
    <row r="36" spans="1:9" x14ac:dyDescent="0.2">
      <c r="A36" s="17">
        <v>44046</v>
      </c>
      <c r="B36" s="8" t="s">
        <v>5</v>
      </c>
      <c r="C36" t="s">
        <v>83</v>
      </c>
      <c r="D36" s="8" t="str">
        <f t="shared" si="0"/>
        <v>OB5</v>
      </c>
      <c r="E36" s="8" t="str">
        <f t="shared" si="1"/>
        <v>1710</v>
      </c>
      <c r="F36" s="4" t="str">
        <f t="shared" si="2"/>
        <v>OB5_1710</v>
      </c>
      <c r="G36">
        <v>1500</v>
      </c>
      <c r="H36">
        <v>2600</v>
      </c>
      <c r="I36" s="14">
        <v>1.7333333333333334</v>
      </c>
    </row>
    <row r="37" spans="1:9" x14ac:dyDescent="0.2">
      <c r="A37" s="17">
        <v>44046</v>
      </c>
      <c r="B37" s="8" t="s">
        <v>5</v>
      </c>
      <c r="C37" t="s">
        <v>78</v>
      </c>
      <c r="D37" s="8" t="str">
        <f t="shared" si="0"/>
        <v>OB5</v>
      </c>
      <c r="E37" s="8" t="str">
        <f t="shared" si="1"/>
        <v>1680</v>
      </c>
      <c r="F37" s="4" t="str">
        <f t="shared" si="2"/>
        <v>OB5_1680</v>
      </c>
      <c r="G37">
        <v>1500</v>
      </c>
      <c r="H37">
        <v>1240</v>
      </c>
      <c r="I37" s="14">
        <v>0.82666666666666666</v>
      </c>
    </row>
    <row r="38" spans="1:9" x14ac:dyDescent="0.2">
      <c r="A38" s="17">
        <v>44046</v>
      </c>
      <c r="B38" s="8" t="s">
        <v>5</v>
      </c>
      <c r="C38" t="s">
        <v>79</v>
      </c>
      <c r="D38" s="8" t="str">
        <f t="shared" si="0"/>
        <v>OB1</v>
      </c>
      <c r="E38" s="8" t="str">
        <f t="shared" si="1"/>
        <v>1640</v>
      </c>
      <c r="F38" s="4" t="str">
        <f t="shared" si="2"/>
        <v>OB1_1640</v>
      </c>
      <c r="G38">
        <v>500</v>
      </c>
      <c r="H38">
        <v>0</v>
      </c>
      <c r="I38" s="14">
        <v>0</v>
      </c>
    </row>
    <row r="39" spans="1:9" x14ac:dyDescent="0.2">
      <c r="A39" s="17">
        <v>44046</v>
      </c>
      <c r="B39" s="8" t="s">
        <v>5</v>
      </c>
      <c r="C39" t="s">
        <v>80</v>
      </c>
      <c r="D39" s="8" t="str">
        <f t="shared" si="0"/>
        <v>OB1</v>
      </c>
      <c r="E39" s="8" t="str">
        <f t="shared" si="1"/>
        <v>1600</v>
      </c>
      <c r="F39" s="4" t="str">
        <f t="shared" si="2"/>
        <v>OB1_1600</v>
      </c>
      <c r="G39">
        <v>2000</v>
      </c>
      <c r="H39">
        <v>2630</v>
      </c>
      <c r="I39" s="14">
        <v>1.3149999999999999</v>
      </c>
    </row>
    <row r="40" spans="1:9" x14ac:dyDescent="0.2">
      <c r="A40" s="17">
        <v>44046</v>
      </c>
      <c r="B40" s="8" t="s">
        <v>5</v>
      </c>
      <c r="C40" t="s">
        <v>81</v>
      </c>
      <c r="D40" s="8" t="str">
        <f t="shared" si="0"/>
        <v>OB6</v>
      </c>
      <c r="E40" s="8" t="str">
        <f t="shared" si="1"/>
        <v>1600</v>
      </c>
      <c r="F40" s="4" t="str">
        <f t="shared" si="2"/>
        <v>OB6_1600</v>
      </c>
      <c r="G40">
        <v>2500</v>
      </c>
      <c r="H40">
        <v>2070</v>
      </c>
      <c r="I40" s="14">
        <v>0.82799999999999996</v>
      </c>
    </row>
    <row r="41" spans="1:9" x14ac:dyDescent="0.2">
      <c r="A41" s="17">
        <v>44046</v>
      </c>
      <c r="B41" s="8" t="s">
        <v>5</v>
      </c>
      <c r="C41" t="s">
        <v>88</v>
      </c>
      <c r="D41" s="8" t="str">
        <f t="shared" si="0"/>
        <v>OB1</v>
      </c>
      <c r="E41" s="8" t="str">
        <f t="shared" ref="E41" si="3">MID(C41,FIND("-",C41)+7,4)</f>
        <v>1650</v>
      </c>
      <c r="F41" s="4" t="str">
        <f t="shared" si="2"/>
        <v>OB1_1650</v>
      </c>
      <c r="G41">
        <v>400</v>
      </c>
      <c r="H41">
        <v>735</v>
      </c>
      <c r="I41" s="14">
        <v>1.8374999999999999</v>
      </c>
    </row>
    <row r="42" spans="1:9" x14ac:dyDescent="0.2">
      <c r="A42" s="17">
        <v>44047</v>
      </c>
      <c r="B42" s="8" t="s">
        <v>4</v>
      </c>
      <c r="C42" t="s">
        <v>89</v>
      </c>
      <c r="D42" s="8" t="str">
        <f t="shared" si="0"/>
        <v>OB1</v>
      </c>
      <c r="E42" s="8" t="str">
        <f>MID(C42,FIND("-",C42)+8,4)</f>
        <v>1910</v>
      </c>
      <c r="F42" s="4" t="str">
        <f t="shared" si="2"/>
        <v>OB1_1910</v>
      </c>
      <c r="G42">
        <v>400</v>
      </c>
      <c r="H42">
        <v>1190</v>
      </c>
      <c r="I42" s="14">
        <v>2.9750000000000001</v>
      </c>
    </row>
    <row r="43" spans="1:9" x14ac:dyDescent="0.2">
      <c r="A43" s="17">
        <v>44047</v>
      </c>
      <c r="B43" s="8" t="s">
        <v>4</v>
      </c>
      <c r="C43" t="s">
        <v>83</v>
      </c>
      <c r="D43" s="8" t="str">
        <f t="shared" si="0"/>
        <v>OB5</v>
      </c>
      <c r="E43" s="8" t="str">
        <f t="shared" si="1"/>
        <v>1710</v>
      </c>
      <c r="F43" s="4" t="str">
        <f t="shared" si="2"/>
        <v>OB5_1710</v>
      </c>
      <c r="G43">
        <v>2000</v>
      </c>
      <c r="H43">
        <v>1855</v>
      </c>
      <c r="I43" s="14">
        <v>0.92749999999999999</v>
      </c>
    </row>
    <row r="44" spans="1:9" x14ac:dyDescent="0.2">
      <c r="A44" s="17">
        <v>44047</v>
      </c>
      <c r="B44" s="8" t="s">
        <v>4</v>
      </c>
      <c r="C44" t="s">
        <v>78</v>
      </c>
      <c r="D44" s="8" t="str">
        <f t="shared" si="0"/>
        <v>OB5</v>
      </c>
      <c r="E44" s="8" t="str">
        <f t="shared" si="1"/>
        <v>1680</v>
      </c>
      <c r="F44" s="4" t="str">
        <f t="shared" si="2"/>
        <v>OB5_1680</v>
      </c>
      <c r="G44">
        <v>500</v>
      </c>
      <c r="H44">
        <v>960</v>
      </c>
      <c r="I44" s="14">
        <v>1.92</v>
      </c>
    </row>
    <row r="45" spans="1:9" x14ac:dyDescent="0.2">
      <c r="A45" s="17">
        <v>44047</v>
      </c>
      <c r="B45" s="8" t="s">
        <v>4</v>
      </c>
      <c r="C45" t="s">
        <v>79</v>
      </c>
      <c r="D45" s="8" t="str">
        <f t="shared" si="0"/>
        <v>OB1</v>
      </c>
      <c r="E45" s="8" t="str">
        <f t="shared" si="1"/>
        <v>1640</v>
      </c>
      <c r="F45" s="4" t="str">
        <f t="shared" si="2"/>
        <v>OB1_1640</v>
      </c>
      <c r="G45">
        <v>2500</v>
      </c>
      <c r="H45">
        <v>1640</v>
      </c>
      <c r="I45" s="14">
        <v>0.65600000000000003</v>
      </c>
    </row>
    <row r="46" spans="1:9" x14ac:dyDescent="0.2">
      <c r="A46" s="17">
        <v>44047</v>
      </c>
      <c r="B46" s="8" t="s">
        <v>4</v>
      </c>
      <c r="C46" t="s">
        <v>80</v>
      </c>
      <c r="D46" s="8" t="str">
        <f t="shared" si="0"/>
        <v>OB1</v>
      </c>
      <c r="E46" s="8" t="str">
        <f t="shared" si="1"/>
        <v>1600</v>
      </c>
      <c r="F46" s="4" t="str">
        <f t="shared" si="2"/>
        <v>OB1_1600</v>
      </c>
      <c r="G46">
        <v>2000</v>
      </c>
      <c r="H46">
        <v>1560</v>
      </c>
      <c r="I46" s="14">
        <v>0.78</v>
      </c>
    </row>
    <row r="47" spans="1:9" x14ac:dyDescent="0.2">
      <c r="A47" s="17">
        <v>44047</v>
      </c>
      <c r="B47" s="8" t="s">
        <v>4</v>
      </c>
      <c r="C47" t="s">
        <v>81</v>
      </c>
      <c r="D47" s="8" t="str">
        <f t="shared" si="0"/>
        <v>OB6</v>
      </c>
      <c r="E47" s="8" t="str">
        <f t="shared" si="1"/>
        <v>1600</v>
      </c>
      <c r="F47" s="4" t="str">
        <f t="shared" si="2"/>
        <v>OB6_1600</v>
      </c>
      <c r="G47">
        <v>2200</v>
      </c>
      <c r="H47">
        <v>1475</v>
      </c>
      <c r="I47" s="14">
        <v>0.67045454545454541</v>
      </c>
    </row>
    <row r="48" spans="1:9" x14ac:dyDescent="0.2">
      <c r="A48" s="17">
        <v>44047</v>
      </c>
      <c r="B48" s="8" t="s">
        <v>5</v>
      </c>
      <c r="C48" t="s">
        <v>90</v>
      </c>
      <c r="D48" s="8" t="str">
        <f t="shared" si="0"/>
        <v>OB9</v>
      </c>
      <c r="E48" s="8" t="str">
        <f t="shared" si="1"/>
        <v>1850</v>
      </c>
      <c r="F48" s="4" t="str">
        <f t="shared" si="2"/>
        <v>OB9_1850</v>
      </c>
      <c r="G48">
        <v>400</v>
      </c>
      <c r="H48">
        <v>380</v>
      </c>
      <c r="I48" s="14">
        <v>0.95</v>
      </c>
    </row>
    <row r="49" spans="1:9" x14ac:dyDescent="0.2">
      <c r="A49" s="17">
        <v>44047</v>
      </c>
      <c r="B49" s="8" t="s">
        <v>5</v>
      </c>
      <c r="C49" t="s">
        <v>83</v>
      </c>
      <c r="D49" s="8" t="str">
        <f t="shared" si="0"/>
        <v>OB5</v>
      </c>
      <c r="E49" s="8" t="str">
        <f t="shared" si="1"/>
        <v>1710</v>
      </c>
      <c r="F49" s="4" t="str">
        <f t="shared" si="2"/>
        <v>OB5_1710</v>
      </c>
      <c r="G49">
        <v>1000</v>
      </c>
      <c r="H49">
        <v>665</v>
      </c>
      <c r="I49" s="14">
        <v>0.66500000000000004</v>
      </c>
    </row>
    <row r="50" spans="1:9" x14ac:dyDescent="0.2">
      <c r="A50" s="17">
        <v>44047</v>
      </c>
      <c r="B50" s="8" t="s">
        <v>5</v>
      </c>
      <c r="C50" t="s">
        <v>79</v>
      </c>
      <c r="D50" s="8" t="str">
        <f t="shared" si="0"/>
        <v>OB1</v>
      </c>
      <c r="E50" s="8" t="str">
        <f t="shared" si="1"/>
        <v>1640</v>
      </c>
      <c r="F50" s="4" t="str">
        <f t="shared" si="2"/>
        <v>OB1_1640</v>
      </c>
      <c r="G50">
        <v>2500</v>
      </c>
      <c r="H50">
        <v>2315</v>
      </c>
      <c r="I50" s="14">
        <v>0.92600000000000005</v>
      </c>
    </row>
    <row r="51" spans="1:9" x14ac:dyDescent="0.2">
      <c r="A51" s="17">
        <v>44047</v>
      </c>
      <c r="B51" s="8" t="s">
        <v>5</v>
      </c>
      <c r="C51" t="s">
        <v>80</v>
      </c>
      <c r="D51" s="8" t="str">
        <f t="shared" si="0"/>
        <v>OB1</v>
      </c>
      <c r="E51" s="8" t="str">
        <f t="shared" si="1"/>
        <v>1600</v>
      </c>
      <c r="F51" s="4" t="str">
        <f t="shared" si="2"/>
        <v>OB1_1600</v>
      </c>
      <c r="G51">
        <v>2500</v>
      </c>
      <c r="H51">
        <v>1675</v>
      </c>
      <c r="I51" s="14">
        <v>0.67</v>
      </c>
    </row>
    <row r="52" spans="1:9" x14ac:dyDescent="0.2">
      <c r="A52" s="17">
        <v>44047</v>
      </c>
      <c r="B52" s="8" t="s">
        <v>5</v>
      </c>
      <c r="C52" t="s">
        <v>81</v>
      </c>
      <c r="D52" s="8" t="str">
        <f t="shared" si="0"/>
        <v>OB6</v>
      </c>
      <c r="E52" s="8" t="str">
        <f t="shared" si="1"/>
        <v>1600</v>
      </c>
      <c r="F52" s="4" t="str">
        <f t="shared" si="2"/>
        <v>OB6_1600</v>
      </c>
      <c r="G52">
        <v>2500</v>
      </c>
      <c r="H52">
        <v>2175</v>
      </c>
      <c r="I52" s="14">
        <v>0.87</v>
      </c>
    </row>
    <row r="53" spans="1:9" x14ac:dyDescent="0.2">
      <c r="A53" s="17">
        <v>44047</v>
      </c>
      <c r="B53" s="8" t="s">
        <v>5</v>
      </c>
      <c r="C53" t="s">
        <v>91</v>
      </c>
      <c r="D53" s="8" t="str">
        <f t="shared" si="0"/>
        <v>OB5</v>
      </c>
      <c r="E53" s="8" t="str">
        <f t="shared" si="1"/>
        <v>1680</v>
      </c>
      <c r="F53" s="4" t="str">
        <f t="shared" si="2"/>
        <v>OB5_1680</v>
      </c>
      <c r="G53">
        <v>400</v>
      </c>
      <c r="H53">
        <v>70</v>
      </c>
      <c r="I53" s="14">
        <v>0.17499999999999999</v>
      </c>
    </row>
    <row r="54" spans="1:9" x14ac:dyDescent="0.2">
      <c r="A54" s="17">
        <v>44048</v>
      </c>
      <c r="B54" s="8" t="s">
        <v>4</v>
      </c>
      <c r="C54" t="s">
        <v>92</v>
      </c>
      <c r="D54" s="8" t="str">
        <f t="shared" si="0"/>
        <v>OB6</v>
      </c>
      <c r="E54" s="8" t="str">
        <f t="shared" si="1"/>
        <v>1910</v>
      </c>
      <c r="F54" s="4" t="str">
        <f t="shared" si="2"/>
        <v>OB6_1910</v>
      </c>
      <c r="G54">
        <v>2000</v>
      </c>
      <c r="H54">
        <v>0</v>
      </c>
      <c r="I54" s="14">
        <v>0</v>
      </c>
    </row>
    <row r="55" spans="1:9" x14ac:dyDescent="0.2">
      <c r="A55" s="17">
        <v>44048</v>
      </c>
      <c r="B55" s="8" t="s">
        <v>4</v>
      </c>
      <c r="C55" t="s">
        <v>77</v>
      </c>
      <c r="D55" s="8" t="str">
        <f t="shared" si="0"/>
        <v>OB6</v>
      </c>
      <c r="E55" s="8" t="str">
        <f t="shared" si="1"/>
        <v>1880</v>
      </c>
      <c r="F55" s="4" t="str">
        <f t="shared" si="2"/>
        <v>OB6_1880</v>
      </c>
      <c r="G55">
        <v>500</v>
      </c>
      <c r="H55">
        <v>0</v>
      </c>
      <c r="I55" s="14">
        <v>0</v>
      </c>
    </row>
    <row r="56" spans="1:9" x14ac:dyDescent="0.2">
      <c r="A56" s="17">
        <v>44048</v>
      </c>
      <c r="B56" s="8" t="s">
        <v>4</v>
      </c>
      <c r="C56" t="s">
        <v>93</v>
      </c>
      <c r="D56" s="8" t="str">
        <f t="shared" si="0"/>
        <v>OB1</v>
      </c>
      <c r="E56" s="8" t="str">
        <f t="shared" si="1"/>
        <v>1910</v>
      </c>
      <c r="F56" s="4" t="str">
        <f t="shared" si="2"/>
        <v>OB1_1910</v>
      </c>
      <c r="G56">
        <v>1200</v>
      </c>
      <c r="H56">
        <v>1820</v>
      </c>
      <c r="I56" s="14">
        <v>1.5166666666666666</v>
      </c>
    </row>
    <row r="57" spans="1:9" x14ac:dyDescent="0.2">
      <c r="A57" s="17">
        <v>44048</v>
      </c>
      <c r="B57" s="8" t="s">
        <v>4</v>
      </c>
      <c r="C57" t="s">
        <v>83</v>
      </c>
      <c r="D57" s="8" t="str">
        <f t="shared" si="0"/>
        <v>OB5</v>
      </c>
      <c r="E57" s="8" t="str">
        <f t="shared" si="1"/>
        <v>1710</v>
      </c>
      <c r="F57" s="4" t="str">
        <f t="shared" si="2"/>
        <v>OB5_1710</v>
      </c>
      <c r="G57">
        <v>500</v>
      </c>
      <c r="H57">
        <v>830</v>
      </c>
      <c r="I57" s="14">
        <v>1.66</v>
      </c>
    </row>
    <row r="58" spans="1:9" x14ac:dyDescent="0.2">
      <c r="A58" s="17">
        <v>44048</v>
      </c>
      <c r="B58" s="8" t="s">
        <v>4</v>
      </c>
      <c r="C58" t="s">
        <v>79</v>
      </c>
      <c r="D58" s="8" t="str">
        <f t="shared" si="0"/>
        <v>OB1</v>
      </c>
      <c r="E58" s="8" t="str">
        <f t="shared" si="1"/>
        <v>1640</v>
      </c>
      <c r="F58" s="4" t="str">
        <f t="shared" si="2"/>
        <v>OB1_1640</v>
      </c>
      <c r="G58">
        <v>500</v>
      </c>
      <c r="H58">
        <v>950</v>
      </c>
      <c r="I58" s="14">
        <v>1.9</v>
      </c>
    </row>
    <row r="59" spans="1:9" x14ac:dyDescent="0.2">
      <c r="A59" s="17">
        <v>44048</v>
      </c>
      <c r="B59" s="8" t="s">
        <v>4</v>
      </c>
      <c r="C59" t="s">
        <v>80</v>
      </c>
      <c r="D59" s="8" t="str">
        <f t="shared" si="0"/>
        <v>OB1</v>
      </c>
      <c r="E59" s="8" t="str">
        <f t="shared" si="1"/>
        <v>1600</v>
      </c>
      <c r="F59" s="4" t="str">
        <f t="shared" si="2"/>
        <v>OB1_1600</v>
      </c>
      <c r="G59">
        <v>1500</v>
      </c>
      <c r="H59">
        <v>1680</v>
      </c>
      <c r="I59" s="14">
        <v>1.1200000000000001</v>
      </c>
    </row>
    <row r="60" spans="1:9" x14ac:dyDescent="0.2">
      <c r="A60" s="17">
        <v>44048</v>
      </c>
      <c r="B60" s="8" t="s">
        <v>4</v>
      </c>
      <c r="C60" t="s">
        <v>81</v>
      </c>
      <c r="D60" s="8" t="str">
        <f t="shared" si="0"/>
        <v>OB6</v>
      </c>
      <c r="E60" s="8" t="str">
        <f t="shared" si="1"/>
        <v>1600</v>
      </c>
      <c r="F60" s="4" t="str">
        <f t="shared" si="2"/>
        <v>OB6_1600</v>
      </c>
      <c r="G60">
        <v>3000</v>
      </c>
      <c r="H60">
        <v>2400</v>
      </c>
      <c r="I60" s="14">
        <v>0.8</v>
      </c>
    </row>
    <row r="61" spans="1:9" x14ac:dyDescent="0.2">
      <c r="A61" s="17">
        <v>44048</v>
      </c>
      <c r="B61" s="8" t="s">
        <v>5</v>
      </c>
      <c r="C61" t="s">
        <v>92</v>
      </c>
      <c r="D61" s="8" t="str">
        <f t="shared" si="0"/>
        <v>OB6</v>
      </c>
      <c r="E61" s="8" t="str">
        <f t="shared" si="1"/>
        <v>1910</v>
      </c>
      <c r="F61" s="4" t="str">
        <f t="shared" si="2"/>
        <v>OB6_1910</v>
      </c>
      <c r="G61">
        <v>2500</v>
      </c>
      <c r="H61">
        <v>2000</v>
      </c>
      <c r="I61" s="14">
        <v>0.8</v>
      </c>
    </row>
    <row r="62" spans="1:9" x14ac:dyDescent="0.2">
      <c r="A62" s="17">
        <v>44048</v>
      </c>
      <c r="B62" s="8" t="s">
        <v>5</v>
      </c>
      <c r="C62" t="s">
        <v>77</v>
      </c>
      <c r="D62" s="8" t="str">
        <f t="shared" si="0"/>
        <v>OB6</v>
      </c>
      <c r="E62" s="8" t="str">
        <f t="shared" si="1"/>
        <v>1880</v>
      </c>
      <c r="F62" s="4" t="str">
        <f t="shared" si="2"/>
        <v>OB6_1880</v>
      </c>
      <c r="G62">
        <v>1000</v>
      </c>
      <c r="H62">
        <v>1680</v>
      </c>
      <c r="I62" s="14">
        <v>1.68</v>
      </c>
    </row>
    <row r="63" spans="1:9" x14ac:dyDescent="0.2">
      <c r="A63" s="17">
        <v>44048</v>
      </c>
      <c r="B63" s="8" t="s">
        <v>5</v>
      </c>
      <c r="C63" t="s">
        <v>93</v>
      </c>
      <c r="D63" s="8" t="str">
        <f t="shared" si="0"/>
        <v>OB1</v>
      </c>
      <c r="E63" s="8" t="str">
        <f t="shared" si="1"/>
        <v>1910</v>
      </c>
      <c r="F63" s="4" t="str">
        <f t="shared" si="2"/>
        <v>OB1_1910</v>
      </c>
      <c r="G63">
        <v>500</v>
      </c>
      <c r="H63">
        <v>0</v>
      </c>
      <c r="I63" s="14">
        <v>0</v>
      </c>
    </row>
    <row r="64" spans="1:9" x14ac:dyDescent="0.2">
      <c r="A64" s="17">
        <v>44048</v>
      </c>
      <c r="B64" s="8" t="s">
        <v>5</v>
      </c>
      <c r="C64" t="s">
        <v>94</v>
      </c>
      <c r="D64" s="8" t="str">
        <f t="shared" si="0"/>
        <v>OB6</v>
      </c>
      <c r="E64" s="8" t="str">
        <f t="shared" si="1"/>
        <v>1940</v>
      </c>
      <c r="F64" s="4" t="str">
        <f t="shared" si="2"/>
        <v>OB6_1940</v>
      </c>
      <c r="G64">
        <v>400</v>
      </c>
      <c r="H64">
        <v>680</v>
      </c>
      <c r="I64" s="14">
        <v>1.7</v>
      </c>
    </row>
    <row r="65" spans="1:9" x14ac:dyDescent="0.2">
      <c r="A65" s="17">
        <v>44048</v>
      </c>
      <c r="B65" s="8" t="s">
        <v>5</v>
      </c>
      <c r="C65" t="s">
        <v>80</v>
      </c>
      <c r="D65" s="8" t="str">
        <f t="shared" si="0"/>
        <v>OB1</v>
      </c>
      <c r="E65" s="8" t="str">
        <f t="shared" si="1"/>
        <v>1600</v>
      </c>
      <c r="F65" s="4" t="str">
        <f t="shared" si="2"/>
        <v>OB1_1600</v>
      </c>
      <c r="G65">
        <v>1000</v>
      </c>
      <c r="H65">
        <v>280</v>
      </c>
      <c r="I65" s="14">
        <v>0.28000000000000003</v>
      </c>
    </row>
    <row r="66" spans="1:9" x14ac:dyDescent="0.2">
      <c r="A66" s="17">
        <v>44048</v>
      </c>
      <c r="B66" s="8" t="s">
        <v>5</v>
      </c>
      <c r="C66" t="s">
        <v>81</v>
      </c>
      <c r="D66" s="8" t="str">
        <f t="shared" si="0"/>
        <v>OB6</v>
      </c>
      <c r="E66" s="8" t="str">
        <f t="shared" si="1"/>
        <v>1600</v>
      </c>
      <c r="F66" s="4" t="str">
        <f t="shared" si="2"/>
        <v>OB6_1600</v>
      </c>
      <c r="G66">
        <v>2500</v>
      </c>
      <c r="H66">
        <v>1240</v>
      </c>
      <c r="I66" s="14">
        <v>0.496</v>
      </c>
    </row>
    <row r="67" spans="1:9" x14ac:dyDescent="0.2">
      <c r="A67" s="17">
        <v>44048</v>
      </c>
      <c r="B67" s="8" t="s">
        <v>5</v>
      </c>
      <c r="C67" t="s">
        <v>95</v>
      </c>
      <c r="D67" s="8" t="str">
        <f t="shared" si="0"/>
        <v>OB6</v>
      </c>
      <c r="E67" s="8" t="str">
        <f t="shared" si="1"/>
        <v>1640</v>
      </c>
      <c r="F67" s="4" t="str">
        <f t="shared" si="2"/>
        <v>OB6_1640</v>
      </c>
      <c r="G67">
        <v>400</v>
      </c>
      <c r="H67">
        <v>1610</v>
      </c>
      <c r="I67" s="14">
        <v>4.0250000000000004</v>
      </c>
    </row>
    <row r="68" spans="1:9" x14ac:dyDescent="0.2">
      <c r="A68" s="17">
        <v>44048</v>
      </c>
      <c r="B68" s="8" t="s">
        <v>5</v>
      </c>
      <c r="C68" t="s">
        <v>96</v>
      </c>
      <c r="D68" s="8" t="str">
        <f t="shared" si="0"/>
        <v>OB6</v>
      </c>
      <c r="E68" s="8" t="str">
        <f t="shared" si="1"/>
        <v>1640</v>
      </c>
      <c r="F68" s="4" t="str">
        <f t="shared" si="2"/>
        <v>OB6_1640</v>
      </c>
      <c r="G68">
        <v>800</v>
      </c>
      <c r="H68">
        <v>315</v>
      </c>
      <c r="I68" s="14">
        <v>0.39374999999999999</v>
      </c>
    </row>
    <row r="69" spans="1:9" x14ac:dyDescent="0.2">
      <c r="A69" s="17">
        <v>44048</v>
      </c>
      <c r="B69" s="8" t="s">
        <v>5</v>
      </c>
      <c r="C69" t="s">
        <v>97</v>
      </c>
      <c r="D69" s="8" t="str">
        <f t="shared" ref="D69:D132" si="4">MID(C69,FIND("OB",C69),3)</f>
        <v>OB6</v>
      </c>
      <c r="E69" s="8" t="str">
        <f t="shared" ref="E69:E132" si="5">MID(C69,FIND("_",C69)+1,4)</f>
        <v>1640</v>
      </c>
      <c r="F69" s="4" t="str">
        <f t="shared" ref="F69:F132" si="6">_xlfn.CONCAT(D69,"_",E69)</f>
        <v>OB6_1640</v>
      </c>
      <c r="G69">
        <v>400</v>
      </c>
      <c r="H69">
        <v>240</v>
      </c>
      <c r="I69" s="14">
        <v>0.6</v>
      </c>
    </row>
    <row r="70" spans="1:9" x14ac:dyDescent="0.2">
      <c r="A70" s="17">
        <v>44049</v>
      </c>
      <c r="B70" s="8" t="s">
        <v>4</v>
      </c>
      <c r="C70" t="s">
        <v>92</v>
      </c>
      <c r="D70" s="8" t="str">
        <f t="shared" si="4"/>
        <v>OB6</v>
      </c>
      <c r="E70" s="8" t="str">
        <f t="shared" si="5"/>
        <v>1910</v>
      </c>
      <c r="F70" s="4" t="str">
        <f t="shared" si="6"/>
        <v>OB6_1910</v>
      </c>
      <c r="G70">
        <v>2000</v>
      </c>
      <c r="H70">
        <v>920</v>
      </c>
      <c r="I70" s="14">
        <v>0.46</v>
      </c>
    </row>
    <row r="71" spans="1:9" x14ac:dyDescent="0.2">
      <c r="A71" s="17">
        <v>44049</v>
      </c>
      <c r="B71" s="8" t="s">
        <v>4</v>
      </c>
      <c r="C71" t="s">
        <v>98</v>
      </c>
      <c r="D71" s="8" t="str">
        <f t="shared" si="4"/>
        <v>OB6</v>
      </c>
      <c r="E71" s="8" t="str">
        <f t="shared" si="5"/>
        <v>1910</v>
      </c>
      <c r="F71" s="4" t="str">
        <f t="shared" si="6"/>
        <v>OB6_1910</v>
      </c>
      <c r="G71">
        <v>2500</v>
      </c>
      <c r="H71">
        <v>2245</v>
      </c>
      <c r="I71" s="14">
        <v>0.89800000000000002</v>
      </c>
    </row>
    <row r="72" spans="1:9" x14ac:dyDescent="0.2">
      <c r="A72" s="17">
        <v>44049</v>
      </c>
      <c r="B72" s="8" t="s">
        <v>4</v>
      </c>
      <c r="C72" t="s">
        <v>77</v>
      </c>
      <c r="D72" s="8" t="str">
        <f t="shared" si="4"/>
        <v>OB6</v>
      </c>
      <c r="E72" s="8" t="str">
        <f t="shared" si="5"/>
        <v>1880</v>
      </c>
      <c r="F72" s="4" t="str">
        <f t="shared" si="6"/>
        <v>OB6_1880</v>
      </c>
      <c r="G72">
        <v>1500</v>
      </c>
      <c r="H72">
        <v>1375</v>
      </c>
      <c r="I72" s="14">
        <v>0.91666666666666663</v>
      </c>
    </row>
    <row r="73" spans="1:9" x14ac:dyDescent="0.2">
      <c r="A73" s="17">
        <v>44049</v>
      </c>
      <c r="B73" s="8" t="s">
        <v>4</v>
      </c>
      <c r="C73" t="s">
        <v>90</v>
      </c>
      <c r="D73" s="8" t="str">
        <f t="shared" si="4"/>
        <v>OB9</v>
      </c>
      <c r="E73" s="8" t="str">
        <f t="shared" si="5"/>
        <v>1850</v>
      </c>
      <c r="F73" s="4" t="str">
        <f t="shared" si="6"/>
        <v>OB9_1850</v>
      </c>
      <c r="G73">
        <v>400</v>
      </c>
      <c r="H73">
        <v>0</v>
      </c>
      <c r="I73" s="14">
        <v>0</v>
      </c>
    </row>
    <row r="74" spans="1:9" x14ac:dyDescent="0.2">
      <c r="A74" s="17">
        <v>44049</v>
      </c>
      <c r="B74" s="8" t="s">
        <v>4</v>
      </c>
      <c r="C74" t="s">
        <v>83</v>
      </c>
      <c r="D74" s="8" t="str">
        <f t="shared" si="4"/>
        <v>OB5</v>
      </c>
      <c r="E74" s="8" t="str">
        <f t="shared" si="5"/>
        <v>1710</v>
      </c>
      <c r="F74" s="4" t="str">
        <f t="shared" si="6"/>
        <v>OB5_1710</v>
      </c>
      <c r="G74">
        <v>2500</v>
      </c>
      <c r="H74">
        <v>2880</v>
      </c>
      <c r="I74" s="14">
        <v>1.1519999999999999</v>
      </c>
    </row>
    <row r="75" spans="1:9" x14ac:dyDescent="0.2">
      <c r="A75" s="17">
        <v>44049</v>
      </c>
      <c r="B75" s="8" t="s">
        <v>4</v>
      </c>
      <c r="C75" t="s">
        <v>81</v>
      </c>
      <c r="D75" s="8" t="str">
        <f t="shared" si="4"/>
        <v>OB6</v>
      </c>
      <c r="E75" s="8" t="str">
        <f t="shared" si="5"/>
        <v>1600</v>
      </c>
      <c r="F75" s="4" t="str">
        <f t="shared" si="6"/>
        <v>OB6_1600</v>
      </c>
      <c r="G75">
        <v>800</v>
      </c>
      <c r="H75">
        <v>720</v>
      </c>
      <c r="I75" s="14">
        <v>0.9</v>
      </c>
    </row>
    <row r="76" spans="1:9" x14ac:dyDescent="0.2">
      <c r="A76" s="17">
        <v>44049</v>
      </c>
      <c r="B76" s="8" t="s">
        <v>4</v>
      </c>
      <c r="C76" t="s">
        <v>99</v>
      </c>
      <c r="D76" s="8" t="str">
        <f t="shared" si="4"/>
        <v>OB1</v>
      </c>
      <c r="E76" s="8" t="str">
        <f t="shared" si="5"/>
        <v>1650</v>
      </c>
      <c r="F76" s="4" t="str">
        <f t="shared" si="6"/>
        <v>OB1_1650</v>
      </c>
      <c r="G76">
        <v>300</v>
      </c>
      <c r="H76">
        <v>425</v>
      </c>
      <c r="I76" s="14">
        <v>1.4166666666666667</v>
      </c>
    </row>
    <row r="77" spans="1:9" x14ac:dyDescent="0.2">
      <c r="A77" s="17">
        <v>44049</v>
      </c>
      <c r="B77" s="8" t="s">
        <v>5</v>
      </c>
      <c r="C77" t="s">
        <v>92</v>
      </c>
      <c r="D77" s="8" t="str">
        <f t="shared" si="4"/>
        <v>OB6</v>
      </c>
      <c r="E77" s="8" t="str">
        <f t="shared" si="5"/>
        <v>1910</v>
      </c>
      <c r="F77" s="4" t="str">
        <f t="shared" si="6"/>
        <v>OB6_1910</v>
      </c>
      <c r="G77">
        <v>500</v>
      </c>
      <c r="H77">
        <v>0</v>
      </c>
      <c r="I77" s="14">
        <v>0</v>
      </c>
    </row>
    <row r="78" spans="1:9" x14ac:dyDescent="0.2">
      <c r="A78" s="17">
        <v>44049</v>
      </c>
      <c r="B78" s="8" t="s">
        <v>5</v>
      </c>
      <c r="C78" t="s">
        <v>98</v>
      </c>
      <c r="D78" s="8" t="str">
        <f t="shared" si="4"/>
        <v>OB6</v>
      </c>
      <c r="E78" s="8" t="str">
        <f t="shared" si="5"/>
        <v>1910</v>
      </c>
      <c r="F78" s="4" t="str">
        <f t="shared" si="6"/>
        <v>OB6_1910</v>
      </c>
      <c r="G78">
        <v>2500</v>
      </c>
      <c r="H78">
        <v>1880</v>
      </c>
      <c r="I78" s="14">
        <v>0.752</v>
      </c>
    </row>
    <row r="79" spans="1:9" x14ac:dyDescent="0.2">
      <c r="A79" s="17">
        <v>44049</v>
      </c>
      <c r="B79" s="8" t="s">
        <v>5</v>
      </c>
      <c r="C79" t="s">
        <v>77</v>
      </c>
      <c r="D79" s="8" t="str">
        <f t="shared" si="4"/>
        <v>OB6</v>
      </c>
      <c r="E79" s="8" t="str">
        <f t="shared" si="5"/>
        <v>1880</v>
      </c>
      <c r="F79" s="4" t="str">
        <f t="shared" si="6"/>
        <v>OB6_1880</v>
      </c>
      <c r="G79">
        <v>2000</v>
      </c>
      <c r="H79">
        <v>1800</v>
      </c>
      <c r="I79" s="14">
        <v>0.9</v>
      </c>
    </row>
    <row r="80" spans="1:9" x14ac:dyDescent="0.2">
      <c r="A80" s="17">
        <v>44049</v>
      </c>
      <c r="B80" s="8" t="s">
        <v>5</v>
      </c>
      <c r="C80" t="s">
        <v>83</v>
      </c>
      <c r="D80" s="8" t="str">
        <f t="shared" si="4"/>
        <v>OB5</v>
      </c>
      <c r="E80" s="8" t="str">
        <f t="shared" si="5"/>
        <v>1710</v>
      </c>
      <c r="F80" s="4" t="str">
        <f t="shared" si="6"/>
        <v>OB5_1710</v>
      </c>
      <c r="G80">
        <v>2000</v>
      </c>
      <c r="H80">
        <v>2240</v>
      </c>
      <c r="I80" s="14">
        <v>1.1200000000000001</v>
      </c>
    </row>
    <row r="81" spans="1:9" x14ac:dyDescent="0.2">
      <c r="A81" s="17">
        <v>44049</v>
      </c>
      <c r="B81" s="8" t="s">
        <v>5</v>
      </c>
      <c r="C81" t="s">
        <v>81</v>
      </c>
      <c r="D81" s="8" t="str">
        <f t="shared" si="4"/>
        <v>OB6</v>
      </c>
      <c r="E81" s="8" t="str">
        <f t="shared" si="5"/>
        <v>1600</v>
      </c>
      <c r="F81" s="4" t="str">
        <f t="shared" si="6"/>
        <v>OB6_1600</v>
      </c>
      <c r="G81">
        <v>3000</v>
      </c>
      <c r="H81">
        <v>2000</v>
      </c>
      <c r="I81" s="14">
        <v>0.66666666666666663</v>
      </c>
    </row>
    <row r="82" spans="1:9" x14ac:dyDescent="0.2">
      <c r="A82" s="17">
        <v>44050</v>
      </c>
      <c r="B82" s="8" t="s">
        <v>4</v>
      </c>
      <c r="C82" t="s">
        <v>98</v>
      </c>
      <c r="D82" s="8" t="str">
        <f t="shared" si="4"/>
        <v>OB6</v>
      </c>
      <c r="E82" s="8" t="str">
        <f t="shared" si="5"/>
        <v>1910</v>
      </c>
      <c r="F82" s="4" t="str">
        <f t="shared" si="6"/>
        <v>OB6_1910</v>
      </c>
      <c r="G82">
        <v>1000</v>
      </c>
      <c r="H82">
        <v>1155</v>
      </c>
      <c r="I82" s="14">
        <v>1.155</v>
      </c>
    </row>
    <row r="83" spans="1:9" x14ac:dyDescent="0.2">
      <c r="A83" s="17">
        <v>44050</v>
      </c>
      <c r="B83" s="8" t="s">
        <v>4</v>
      </c>
      <c r="C83" t="s">
        <v>93</v>
      </c>
      <c r="D83" s="8" t="str">
        <f t="shared" si="4"/>
        <v>OB1</v>
      </c>
      <c r="E83" s="8" t="str">
        <f t="shared" si="5"/>
        <v>1910</v>
      </c>
      <c r="F83" s="4" t="str">
        <f t="shared" si="6"/>
        <v>OB1_1910</v>
      </c>
      <c r="G83">
        <v>300</v>
      </c>
      <c r="H83">
        <v>495</v>
      </c>
      <c r="I83" s="14">
        <v>1.65</v>
      </c>
    </row>
    <row r="84" spans="1:9" x14ac:dyDescent="0.2">
      <c r="A84" s="17">
        <v>44050</v>
      </c>
      <c r="B84" s="8" t="s">
        <v>4</v>
      </c>
      <c r="C84" t="s">
        <v>90</v>
      </c>
      <c r="D84" s="8" t="str">
        <f t="shared" si="4"/>
        <v>OB9</v>
      </c>
      <c r="E84" s="8" t="str">
        <f t="shared" si="5"/>
        <v>1850</v>
      </c>
      <c r="F84" s="4" t="str">
        <f t="shared" si="6"/>
        <v>OB9_1850</v>
      </c>
      <c r="G84">
        <v>400</v>
      </c>
      <c r="H84">
        <v>490</v>
      </c>
      <c r="I84" s="14">
        <v>1.2250000000000001</v>
      </c>
    </row>
    <row r="85" spans="1:9" x14ac:dyDescent="0.2">
      <c r="A85" s="17">
        <v>44050</v>
      </c>
      <c r="B85" s="8" t="s">
        <v>4</v>
      </c>
      <c r="C85" t="s">
        <v>100</v>
      </c>
      <c r="D85" s="8" t="str">
        <f t="shared" si="4"/>
        <v>OB9</v>
      </c>
      <c r="E85" s="8" t="str">
        <f t="shared" si="5"/>
        <v>1850</v>
      </c>
      <c r="F85" s="4" t="str">
        <f t="shared" si="6"/>
        <v>OB9_1850</v>
      </c>
      <c r="G85">
        <v>200</v>
      </c>
      <c r="H85">
        <v>280</v>
      </c>
      <c r="I85" s="14">
        <v>1.4</v>
      </c>
    </row>
    <row r="86" spans="1:9" x14ac:dyDescent="0.2">
      <c r="A86" s="17">
        <v>44050</v>
      </c>
      <c r="B86" s="8" t="s">
        <v>4</v>
      </c>
      <c r="C86" t="s">
        <v>83</v>
      </c>
      <c r="D86" s="8" t="str">
        <f t="shared" si="4"/>
        <v>OB5</v>
      </c>
      <c r="E86" s="8" t="str">
        <f t="shared" si="5"/>
        <v>1710</v>
      </c>
      <c r="F86" s="4" t="str">
        <f t="shared" si="6"/>
        <v>OB5_1710</v>
      </c>
      <c r="G86">
        <v>3400</v>
      </c>
      <c r="H86">
        <v>2380</v>
      </c>
      <c r="I86" s="14">
        <v>0.7</v>
      </c>
    </row>
    <row r="87" spans="1:9" x14ac:dyDescent="0.2">
      <c r="A87" s="17">
        <v>44050</v>
      </c>
      <c r="B87" s="8" t="s">
        <v>4</v>
      </c>
      <c r="C87" t="s">
        <v>81</v>
      </c>
      <c r="D87" s="8" t="str">
        <f t="shared" si="4"/>
        <v>OB6</v>
      </c>
      <c r="E87" s="8" t="str">
        <f t="shared" si="5"/>
        <v>1600</v>
      </c>
      <c r="F87" s="4" t="str">
        <f t="shared" si="6"/>
        <v>OB6_1600</v>
      </c>
      <c r="G87">
        <v>3000</v>
      </c>
      <c r="H87">
        <v>2995</v>
      </c>
      <c r="I87" s="14">
        <v>0.99833333333333329</v>
      </c>
    </row>
    <row r="88" spans="1:9" x14ac:dyDescent="0.2">
      <c r="A88" s="17">
        <v>44050</v>
      </c>
      <c r="B88" s="8" t="s">
        <v>4</v>
      </c>
      <c r="C88" t="s">
        <v>99</v>
      </c>
      <c r="D88" s="8" t="str">
        <f t="shared" si="4"/>
        <v>OB1</v>
      </c>
      <c r="E88" s="8" t="str">
        <f t="shared" si="5"/>
        <v>1650</v>
      </c>
      <c r="F88" s="4" t="str">
        <f t="shared" si="6"/>
        <v>OB1_1650</v>
      </c>
      <c r="G88">
        <v>400</v>
      </c>
      <c r="H88">
        <v>2485</v>
      </c>
      <c r="I88" s="14">
        <v>6.2125000000000004</v>
      </c>
    </row>
    <row r="89" spans="1:9" x14ac:dyDescent="0.2">
      <c r="A89" s="17">
        <v>44050</v>
      </c>
      <c r="B89" s="8" t="s">
        <v>4</v>
      </c>
      <c r="C89" t="s">
        <v>101</v>
      </c>
      <c r="D89" s="8" t="str">
        <f t="shared" si="4"/>
        <v>OB6</v>
      </c>
      <c r="E89" s="8" t="str">
        <f t="shared" si="5"/>
        <v>1640</v>
      </c>
      <c r="F89" s="4" t="str">
        <f t="shared" si="6"/>
        <v>OB6_1640</v>
      </c>
      <c r="G89">
        <v>700</v>
      </c>
      <c r="H89">
        <v>0</v>
      </c>
      <c r="I89" s="14">
        <v>0</v>
      </c>
    </row>
    <row r="90" spans="1:9" x14ac:dyDescent="0.2">
      <c r="A90" s="17">
        <v>44050</v>
      </c>
      <c r="B90" s="8" t="s">
        <v>4</v>
      </c>
      <c r="C90" t="s">
        <v>102</v>
      </c>
      <c r="D90" s="8" t="str">
        <f t="shared" si="4"/>
        <v>OB6</v>
      </c>
      <c r="E90" s="8" t="str">
        <f t="shared" si="5"/>
        <v>1640</v>
      </c>
      <c r="F90" s="4" t="str">
        <f t="shared" si="6"/>
        <v>OB6_1640</v>
      </c>
      <c r="G90">
        <v>600</v>
      </c>
      <c r="H90">
        <v>0</v>
      </c>
      <c r="I90" s="14">
        <v>0</v>
      </c>
    </row>
    <row r="91" spans="1:9" x14ac:dyDescent="0.2">
      <c r="A91" s="17">
        <v>44050</v>
      </c>
      <c r="B91" s="8" t="s">
        <v>5</v>
      </c>
      <c r="C91" t="s">
        <v>77</v>
      </c>
      <c r="D91" s="8" t="str">
        <f t="shared" si="4"/>
        <v>OB6</v>
      </c>
      <c r="E91" s="8" t="str">
        <f t="shared" si="5"/>
        <v>1880</v>
      </c>
      <c r="F91" s="4" t="str">
        <f t="shared" si="6"/>
        <v>OB6_1880</v>
      </c>
      <c r="G91">
        <v>3000</v>
      </c>
      <c r="H91">
        <v>1440</v>
      </c>
      <c r="I91" s="14">
        <v>0.53333333333333333</v>
      </c>
    </row>
    <row r="92" spans="1:9" x14ac:dyDescent="0.2">
      <c r="A92" s="17">
        <v>44050</v>
      </c>
      <c r="B92" s="8" t="s">
        <v>5</v>
      </c>
      <c r="C92" t="s">
        <v>103</v>
      </c>
      <c r="D92" s="8" t="str">
        <f t="shared" si="4"/>
        <v>OB6</v>
      </c>
      <c r="E92" s="8" t="str">
        <f t="shared" si="5"/>
        <v>1880</v>
      </c>
      <c r="F92" s="4" t="str">
        <f t="shared" si="6"/>
        <v>OB6_1880</v>
      </c>
      <c r="G92">
        <v>600</v>
      </c>
      <c r="H92">
        <v>0</v>
      </c>
      <c r="I92" s="14">
        <v>0</v>
      </c>
    </row>
    <row r="93" spans="1:9" x14ac:dyDescent="0.2">
      <c r="A93" s="17">
        <v>44050</v>
      </c>
      <c r="B93" s="8" t="s">
        <v>5</v>
      </c>
      <c r="C93" t="s">
        <v>83</v>
      </c>
      <c r="D93" s="8" t="str">
        <f t="shared" si="4"/>
        <v>OB5</v>
      </c>
      <c r="E93" s="8" t="str">
        <f t="shared" si="5"/>
        <v>1710</v>
      </c>
      <c r="F93" s="4" t="str">
        <f t="shared" si="6"/>
        <v>OB5_1710</v>
      </c>
      <c r="G93">
        <v>3400</v>
      </c>
      <c r="H93">
        <v>3040</v>
      </c>
      <c r="I93" s="14">
        <v>0.89411764705882357</v>
      </c>
    </row>
    <row r="94" spans="1:9" x14ac:dyDescent="0.2">
      <c r="A94" s="17">
        <v>44050</v>
      </c>
      <c r="B94" s="8" t="s">
        <v>5</v>
      </c>
      <c r="C94" t="s">
        <v>81</v>
      </c>
      <c r="D94" s="8" t="str">
        <f t="shared" si="4"/>
        <v>OB6</v>
      </c>
      <c r="E94" s="8" t="str">
        <f t="shared" si="5"/>
        <v>1600</v>
      </c>
      <c r="F94" s="4" t="str">
        <f t="shared" si="6"/>
        <v>OB6_1600</v>
      </c>
      <c r="G94">
        <v>3000</v>
      </c>
      <c r="H94">
        <v>2475</v>
      </c>
      <c r="I94" s="14">
        <v>0.82499999999999996</v>
      </c>
    </row>
    <row r="95" spans="1:9" x14ac:dyDescent="0.2">
      <c r="A95" s="17">
        <v>44051</v>
      </c>
      <c r="B95" s="8" t="s">
        <v>4</v>
      </c>
      <c r="C95" t="s">
        <v>98</v>
      </c>
      <c r="D95" s="8" t="str">
        <f t="shared" si="4"/>
        <v>OB6</v>
      </c>
      <c r="E95" s="8" t="str">
        <f t="shared" si="5"/>
        <v>1910</v>
      </c>
      <c r="F95" s="4" t="str">
        <f t="shared" si="6"/>
        <v>OB6_1910</v>
      </c>
      <c r="G95">
        <v>2100</v>
      </c>
      <c r="H95">
        <v>1925</v>
      </c>
      <c r="I95" s="14">
        <v>0.91666666666666663</v>
      </c>
    </row>
    <row r="96" spans="1:9" x14ac:dyDescent="0.2">
      <c r="A96" s="17">
        <v>44051</v>
      </c>
      <c r="B96" s="8" t="s">
        <v>4</v>
      </c>
      <c r="C96" t="s">
        <v>77</v>
      </c>
      <c r="D96" s="8" t="str">
        <f t="shared" si="4"/>
        <v>OB6</v>
      </c>
      <c r="E96" s="8" t="str">
        <f t="shared" si="5"/>
        <v>1880</v>
      </c>
      <c r="F96" s="4" t="str">
        <f t="shared" si="6"/>
        <v>OB6_1880</v>
      </c>
      <c r="G96">
        <v>2000</v>
      </c>
      <c r="H96">
        <v>2075</v>
      </c>
      <c r="I96" s="14">
        <v>1.0375000000000001</v>
      </c>
    </row>
    <row r="97" spans="1:9" x14ac:dyDescent="0.2">
      <c r="A97" s="17">
        <v>44051</v>
      </c>
      <c r="B97" s="8" t="s">
        <v>4</v>
      </c>
      <c r="C97" t="s">
        <v>93</v>
      </c>
      <c r="D97" s="8" t="str">
        <f t="shared" si="4"/>
        <v>OB1</v>
      </c>
      <c r="E97" s="8" t="str">
        <f t="shared" si="5"/>
        <v>1910</v>
      </c>
      <c r="F97" s="4" t="str">
        <f t="shared" si="6"/>
        <v>OB1_1910</v>
      </c>
      <c r="G97">
        <v>300</v>
      </c>
      <c r="H97">
        <v>0</v>
      </c>
      <c r="I97" s="14">
        <v>0</v>
      </c>
    </row>
    <row r="98" spans="1:9" x14ac:dyDescent="0.2">
      <c r="A98" s="17">
        <v>44051</v>
      </c>
      <c r="B98" s="8" t="s">
        <v>4</v>
      </c>
      <c r="C98" t="s">
        <v>104</v>
      </c>
      <c r="D98" s="8" t="str">
        <f t="shared" si="4"/>
        <v>OB2</v>
      </c>
      <c r="E98" s="8" t="str">
        <f t="shared" si="5"/>
        <v>1820</v>
      </c>
      <c r="F98" s="4" t="str">
        <f t="shared" si="6"/>
        <v>OB2_1820</v>
      </c>
      <c r="G98">
        <v>200</v>
      </c>
      <c r="H98">
        <v>0</v>
      </c>
      <c r="I98" s="14">
        <v>0</v>
      </c>
    </row>
    <row r="99" spans="1:9" x14ac:dyDescent="0.2">
      <c r="A99" s="17">
        <v>44051</v>
      </c>
      <c r="B99" s="8" t="s">
        <v>4</v>
      </c>
      <c r="C99" t="s">
        <v>83</v>
      </c>
      <c r="D99" s="8" t="str">
        <f t="shared" si="4"/>
        <v>OB5</v>
      </c>
      <c r="E99" s="8" t="str">
        <f t="shared" si="5"/>
        <v>1710</v>
      </c>
      <c r="F99" s="4" t="str">
        <f t="shared" si="6"/>
        <v>OB5_1710</v>
      </c>
      <c r="G99">
        <v>2500</v>
      </c>
      <c r="H99">
        <v>1470</v>
      </c>
      <c r="I99" s="14">
        <v>0.58799999999999997</v>
      </c>
    </row>
    <row r="100" spans="1:9" x14ac:dyDescent="0.2">
      <c r="A100" s="17">
        <v>44051</v>
      </c>
      <c r="B100" s="8" t="s">
        <v>4</v>
      </c>
      <c r="C100" t="s">
        <v>81</v>
      </c>
      <c r="D100" s="8" t="str">
        <f t="shared" si="4"/>
        <v>OB6</v>
      </c>
      <c r="E100" s="8" t="str">
        <f t="shared" si="5"/>
        <v>1600</v>
      </c>
      <c r="F100" s="4" t="str">
        <f t="shared" si="6"/>
        <v>OB6_1600</v>
      </c>
      <c r="G100">
        <v>2500</v>
      </c>
      <c r="H100">
        <v>1695</v>
      </c>
      <c r="I100" s="14">
        <v>0.67800000000000005</v>
      </c>
    </row>
    <row r="101" spans="1:9" x14ac:dyDescent="0.2">
      <c r="A101" s="17">
        <v>44051</v>
      </c>
      <c r="B101" s="8" t="s">
        <v>4</v>
      </c>
      <c r="C101" t="s">
        <v>105</v>
      </c>
      <c r="D101" s="8" t="str">
        <f t="shared" si="4"/>
        <v>OB6</v>
      </c>
      <c r="E101" s="8" t="str">
        <f t="shared" si="5"/>
        <v>1650</v>
      </c>
      <c r="F101" s="4" t="str">
        <f t="shared" si="6"/>
        <v>OB6_1650</v>
      </c>
      <c r="G101">
        <v>400</v>
      </c>
      <c r="H101">
        <v>420</v>
      </c>
      <c r="I101" s="14">
        <v>1.05</v>
      </c>
    </row>
    <row r="102" spans="1:9" x14ac:dyDescent="0.2">
      <c r="A102" s="17">
        <v>44051</v>
      </c>
      <c r="B102" s="8" t="s">
        <v>5</v>
      </c>
      <c r="C102" t="s">
        <v>98</v>
      </c>
      <c r="D102" s="8" t="str">
        <f t="shared" si="4"/>
        <v>OB6</v>
      </c>
      <c r="E102" s="8" t="str">
        <f t="shared" si="5"/>
        <v>1910</v>
      </c>
      <c r="F102" s="4" t="str">
        <f t="shared" si="6"/>
        <v>OB6_1910</v>
      </c>
      <c r="G102">
        <v>3500</v>
      </c>
      <c r="H102">
        <v>1480</v>
      </c>
      <c r="I102" s="14">
        <v>0.42285714285714288</v>
      </c>
    </row>
    <row r="103" spans="1:9" x14ac:dyDescent="0.2">
      <c r="A103" s="17">
        <v>44051</v>
      </c>
      <c r="B103" s="8" t="s">
        <v>5</v>
      </c>
      <c r="C103" t="s">
        <v>77</v>
      </c>
      <c r="D103" s="8" t="str">
        <f t="shared" si="4"/>
        <v>OB6</v>
      </c>
      <c r="E103" s="8" t="str">
        <f t="shared" si="5"/>
        <v>1880</v>
      </c>
      <c r="F103" s="4" t="str">
        <f t="shared" si="6"/>
        <v>OB6_1880</v>
      </c>
      <c r="G103">
        <v>3000</v>
      </c>
      <c r="H103">
        <v>2600</v>
      </c>
      <c r="I103" s="14">
        <v>0.8666666666666667</v>
      </c>
    </row>
    <row r="104" spans="1:9" x14ac:dyDescent="0.2">
      <c r="A104" s="17">
        <v>44051</v>
      </c>
      <c r="B104" s="8" t="s">
        <v>5</v>
      </c>
      <c r="C104" t="s">
        <v>106</v>
      </c>
      <c r="D104" s="8" t="str">
        <f t="shared" si="4"/>
        <v>OB9</v>
      </c>
      <c r="E104" s="8" t="str">
        <f t="shared" si="5"/>
        <v>1850</v>
      </c>
      <c r="F104" s="4" t="str">
        <f t="shared" si="6"/>
        <v>OB9_1850</v>
      </c>
      <c r="G104">
        <v>200</v>
      </c>
      <c r="H104">
        <v>480</v>
      </c>
      <c r="I104" s="14">
        <v>2.4</v>
      </c>
    </row>
    <row r="105" spans="1:9" x14ac:dyDescent="0.2">
      <c r="A105" s="17">
        <v>44051</v>
      </c>
      <c r="B105" s="8" t="s">
        <v>5</v>
      </c>
      <c r="C105" t="s">
        <v>83</v>
      </c>
      <c r="D105" s="8" t="str">
        <f t="shared" si="4"/>
        <v>OB5</v>
      </c>
      <c r="E105" s="8" t="str">
        <f t="shared" si="5"/>
        <v>1710</v>
      </c>
      <c r="F105" s="4" t="str">
        <f t="shared" si="6"/>
        <v>OB5_1710</v>
      </c>
      <c r="G105">
        <v>400</v>
      </c>
      <c r="H105">
        <v>160</v>
      </c>
      <c r="I105" s="14">
        <v>0.4</v>
      </c>
    </row>
    <row r="106" spans="1:9" x14ac:dyDescent="0.2">
      <c r="A106" s="17">
        <v>44051</v>
      </c>
      <c r="B106" s="8" t="s">
        <v>5</v>
      </c>
      <c r="C106" t="s">
        <v>81</v>
      </c>
      <c r="D106" s="8" t="str">
        <f t="shared" si="4"/>
        <v>OB6</v>
      </c>
      <c r="E106" s="8" t="str">
        <f t="shared" si="5"/>
        <v>1600</v>
      </c>
      <c r="F106" s="4" t="str">
        <f t="shared" si="6"/>
        <v>OB6_1600</v>
      </c>
      <c r="G106">
        <v>2500</v>
      </c>
      <c r="H106">
        <v>2320</v>
      </c>
      <c r="I106" s="14">
        <v>0.92800000000000005</v>
      </c>
    </row>
    <row r="107" spans="1:9" x14ac:dyDescent="0.2">
      <c r="A107" s="17">
        <v>44051</v>
      </c>
      <c r="B107" s="8" t="s">
        <v>5</v>
      </c>
      <c r="C107" t="s">
        <v>107</v>
      </c>
      <c r="D107" s="8" t="str">
        <f t="shared" si="4"/>
        <v>OB6</v>
      </c>
      <c r="E107" s="8" t="str">
        <f t="shared" si="5"/>
        <v>1650</v>
      </c>
      <c r="F107" s="4" t="str">
        <f t="shared" si="6"/>
        <v>OB6_1650</v>
      </c>
      <c r="G107">
        <v>200</v>
      </c>
      <c r="H107">
        <v>0</v>
      </c>
      <c r="I107" s="14">
        <v>0</v>
      </c>
    </row>
    <row r="108" spans="1:9" x14ac:dyDescent="0.2">
      <c r="A108" s="17">
        <v>44051</v>
      </c>
      <c r="B108" s="8" t="s">
        <v>5</v>
      </c>
      <c r="C108" t="s">
        <v>108</v>
      </c>
      <c r="D108" s="8" t="str">
        <f t="shared" si="4"/>
        <v>OB6</v>
      </c>
      <c r="E108" s="8" t="str">
        <f t="shared" si="5"/>
        <v>1640</v>
      </c>
      <c r="F108" s="4" t="str">
        <f t="shared" si="6"/>
        <v>OB6_1640</v>
      </c>
      <c r="G108">
        <v>200</v>
      </c>
      <c r="H108">
        <v>0</v>
      </c>
      <c r="I108" s="14">
        <v>0</v>
      </c>
    </row>
    <row r="109" spans="1:9" x14ac:dyDescent="0.2">
      <c r="A109" s="17">
        <v>44052</v>
      </c>
      <c r="B109" s="8" t="s">
        <v>4</v>
      </c>
      <c r="C109" t="s">
        <v>98</v>
      </c>
      <c r="D109" s="8" t="str">
        <f t="shared" si="4"/>
        <v>OB6</v>
      </c>
      <c r="E109" s="8" t="str">
        <f t="shared" si="5"/>
        <v>1910</v>
      </c>
      <c r="F109" s="4" t="str">
        <f t="shared" si="6"/>
        <v>OB6_1910</v>
      </c>
      <c r="G109">
        <v>1200</v>
      </c>
      <c r="H109">
        <v>2760</v>
      </c>
      <c r="I109" s="14">
        <v>2.2999999999999998</v>
      </c>
    </row>
    <row r="110" spans="1:9" x14ac:dyDescent="0.2">
      <c r="A110" s="17">
        <v>44052</v>
      </c>
      <c r="B110" s="8" t="s">
        <v>4</v>
      </c>
      <c r="C110" t="s">
        <v>77</v>
      </c>
      <c r="D110" s="8" t="str">
        <f t="shared" si="4"/>
        <v>OB6</v>
      </c>
      <c r="E110" s="8" t="str">
        <f t="shared" si="5"/>
        <v>1880</v>
      </c>
      <c r="F110" s="4" t="str">
        <f t="shared" si="6"/>
        <v>OB6_1880</v>
      </c>
      <c r="G110">
        <v>2000</v>
      </c>
      <c r="H110">
        <v>2040</v>
      </c>
      <c r="I110" s="14">
        <v>1.02</v>
      </c>
    </row>
    <row r="111" spans="1:9" x14ac:dyDescent="0.2">
      <c r="A111" s="17">
        <v>44052</v>
      </c>
      <c r="B111" s="8" t="s">
        <v>4</v>
      </c>
      <c r="C111" t="s">
        <v>103</v>
      </c>
      <c r="D111" s="8" t="str">
        <f t="shared" si="4"/>
        <v>OB6</v>
      </c>
      <c r="E111" s="8" t="str">
        <f t="shared" si="5"/>
        <v>1880</v>
      </c>
      <c r="F111" s="4" t="str">
        <f t="shared" si="6"/>
        <v>OB6_1880</v>
      </c>
      <c r="G111">
        <v>1000</v>
      </c>
      <c r="H111">
        <v>0</v>
      </c>
      <c r="I111" s="14">
        <v>0</v>
      </c>
    </row>
    <row r="112" spans="1:9" x14ac:dyDescent="0.2">
      <c r="A112" s="17">
        <v>44052</v>
      </c>
      <c r="B112" s="8" t="s">
        <v>4</v>
      </c>
      <c r="C112" t="s">
        <v>81</v>
      </c>
      <c r="D112" s="8" t="str">
        <f t="shared" si="4"/>
        <v>OB6</v>
      </c>
      <c r="E112" s="8" t="str">
        <f t="shared" si="5"/>
        <v>1600</v>
      </c>
      <c r="F112" s="4" t="str">
        <f t="shared" si="6"/>
        <v>OB6_1600</v>
      </c>
      <c r="G112">
        <v>2500</v>
      </c>
      <c r="H112">
        <v>920</v>
      </c>
      <c r="I112" s="14">
        <v>0.36799999999999999</v>
      </c>
    </row>
    <row r="113" spans="1:9" x14ac:dyDescent="0.2">
      <c r="A113" s="17">
        <v>44052</v>
      </c>
      <c r="B113" s="8" t="s">
        <v>4</v>
      </c>
      <c r="C113" t="s">
        <v>91</v>
      </c>
      <c r="D113" s="8" t="str">
        <f t="shared" si="4"/>
        <v>OB5</v>
      </c>
      <c r="E113" s="8" t="str">
        <f t="shared" si="5"/>
        <v>1680</v>
      </c>
      <c r="F113" s="4" t="str">
        <f t="shared" si="6"/>
        <v>OB5_1680</v>
      </c>
      <c r="G113">
        <v>300</v>
      </c>
      <c r="H113">
        <v>440</v>
      </c>
      <c r="I113" s="14">
        <v>1.4666666666666666</v>
      </c>
    </row>
    <row r="114" spans="1:9" x14ac:dyDescent="0.2">
      <c r="A114" s="17">
        <v>44052</v>
      </c>
      <c r="B114" s="8" t="s">
        <v>4</v>
      </c>
      <c r="C114" t="s">
        <v>105</v>
      </c>
      <c r="D114" s="8" t="str">
        <f t="shared" si="4"/>
        <v>OB6</v>
      </c>
      <c r="E114" s="8" t="str">
        <f t="shared" si="5"/>
        <v>1650</v>
      </c>
      <c r="F114" s="4" t="str">
        <f t="shared" si="6"/>
        <v>OB6_1650</v>
      </c>
      <c r="G114">
        <v>400</v>
      </c>
      <c r="H114">
        <v>440</v>
      </c>
      <c r="I114" s="14">
        <v>1.1000000000000001</v>
      </c>
    </row>
    <row r="115" spans="1:9" x14ac:dyDescent="0.2">
      <c r="A115" s="17">
        <v>44052</v>
      </c>
      <c r="B115" s="8" t="s">
        <v>4</v>
      </c>
      <c r="C115" t="s">
        <v>95</v>
      </c>
      <c r="D115" s="8" t="str">
        <f t="shared" si="4"/>
        <v>OB6</v>
      </c>
      <c r="E115" s="8" t="str">
        <f t="shared" si="5"/>
        <v>1640</v>
      </c>
      <c r="F115" s="4" t="str">
        <f t="shared" si="6"/>
        <v>OB6_1640</v>
      </c>
      <c r="G115">
        <v>400</v>
      </c>
      <c r="H115">
        <v>320</v>
      </c>
      <c r="I115" s="14">
        <v>0.8</v>
      </c>
    </row>
    <row r="116" spans="1:9" x14ac:dyDescent="0.2">
      <c r="A116" s="17">
        <v>44052</v>
      </c>
      <c r="B116" s="8" t="s">
        <v>4</v>
      </c>
      <c r="C116" t="s">
        <v>109</v>
      </c>
      <c r="D116" s="8" t="str">
        <f t="shared" si="4"/>
        <v>OB6</v>
      </c>
      <c r="E116" s="8" t="str">
        <f t="shared" si="5"/>
        <v>1650</v>
      </c>
      <c r="F116" s="4" t="str">
        <f t="shared" si="6"/>
        <v>OB6_1650</v>
      </c>
      <c r="G116">
        <v>300</v>
      </c>
      <c r="H116">
        <v>0</v>
      </c>
      <c r="I116" s="14">
        <v>0</v>
      </c>
    </row>
    <row r="117" spans="1:9" x14ac:dyDescent="0.2">
      <c r="A117" s="17">
        <v>44052</v>
      </c>
      <c r="B117" s="8" t="s">
        <v>4</v>
      </c>
      <c r="C117" t="s">
        <v>97</v>
      </c>
      <c r="D117" s="8" t="str">
        <f t="shared" si="4"/>
        <v>OB6</v>
      </c>
      <c r="E117" s="8" t="str">
        <f t="shared" si="5"/>
        <v>1640</v>
      </c>
      <c r="F117" s="4" t="str">
        <f t="shared" si="6"/>
        <v>OB6_1640</v>
      </c>
      <c r="G117">
        <v>200</v>
      </c>
      <c r="H117">
        <v>360</v>
      </c>
      <c r="I117" s="14">
        <v>1.8</v>
      </c>
    </row>
    <row r="118" spans="1:9" x14ac:dyDescent="0.2">
      <c r="A118" s="17">
        <v>44052</v>
      </c>
      <c r="B118" s="8" t="s">
        <v>4</v>
      </c>
      <c r="C118" t="s">
        <v>110</v>
      </c>
      <c r="D118" s="8" t="str">
        <f t="shared" si="4"/>
        <v>OB1</v>
      </c>
      <c r="E118" s="8" t="str">
        <f t="shared" si="5"/>
        <v>1620</v>
      </c>
      <c r="F118" s="4" t="str">
        <f t="shared" si="6"/>
        <v>OB1_1620</v>
      </c>
      <c r="G118">
        <v>400</v>
      </c>
      <c r="H118">
        <v>640</v>
      </c>
      <c r="I118" s="14">
        <v>1.6</v>
      </c>
    </row>
    <row r="119" spans="1:9" x14ac:dyDescent="0.2">
      <c r="A119" s="17">
        <v>44052</v>
      </c>
      <c r="B119" s="8" t="s">
        <v>5</v>
      </c>
      <c r="C119" t="s">
        <v>98</v>
      </c>
      <c r="D119" s="8" t="str">
        <f t="shared" si="4"/>
        <v>OB6</v>
      </c>
      <c r="E119" s="8" t="str">
        <f t="shared" si="5"/>
        <v>1910</v>
      </c>
      <c r="F119" s="4" t="str">
        <f t="shared" si="6"/>
        <v>OB6_1910</v>
      </c>
      <c r="G119">
        <v>2600</v>
      </c>
      <c r="H119">
        <v>1320</v>
      </c>
      <c r="I119" s="14">
        <v>0.50769230769230766</v>
      </c>
    </row>
    <row r="120" spans="1:9" x14ac:dyDescent="0.2">
      <c r="A120" s="17">
        <v>44052</v>
      </c>
      <c r="B120" s="8" t="s">
        <v>5</v>
      </c>
      <c r="C120" t="s">
        <v>77</v>
      </c>
      <c r="D120" s="8" t="str">
        <f t="shared" si="4"/>
        <v>OB6</v>
      </c>
      <c r="E120" s="8" t="str">
        <f t="shared" si="5"/>
        <v>1880</v>
      </c>
      <c r="F120" s="4" t="str">
        <f t="shared" si="6"/>
        <v>OB6_1880</v>
      </c>
      <c r="G120">
        <v>2000</v>
      </c>
      <c r="H120">
        <v>2400</v>
      </c>
      <c r="I120" s="14">
        <v>1.2</v>
      </c>
    </row>
    <row r="121" spans="1:9" x14ac:dyDescent="0.2">
      <c r="A121" s="17">
        <v>44052</v>
      </c>
      <c r="B121" s="8" t="s">
        <v>5</v>
      </c>
      <c r="C121" t="s">
        <v>103</v>
      </c>
      <c r="D121" s="8" t="str">
        <f t="shared" si="4"/>
        <v>OB6</v>
      </c>
      <c r="E121" s="8" t="str">
        <f t="shared" si="5"/>
        <v>1880</v>
      </c>
      <c r="F121" s="4" t="str">
        <f t="shared" si="6"/>
        <v>OB6_1880</v>
      </c>
      <c r="G121">
        <v>1100</v>
      </c>
      <c r="H121">
        <v>600</v>
      </c>
      <c r="I121" s="14">
        <v>0.54545454545454541</v>
      </c>
    </row>
    <row r="122" spans="1:9" x14ac:dyDescent="0.2">
      <c r="A122" s="17">
        <v>44052</v>
      </c>
      <c r="B122" s="8" t="s">
        <v>5</v>
      </c>
      <c r="C122" t="s">
        <v>81</v>
      </c>
      <c r="D122" s="8" t="str">
        <f t="shared" si="4"/>
        <v>OB6</v>
      </c>
      <c r="E122" s="8" t="str">
        <f t="shared" si="5"/>
        <v>1600</v>
      </c>
      <c r="F122" s="4" t="str">
        <f t="shared" si="6"/>
        <v>OB6_1600</v>
      </c>
      <c r="G122">
        <v>2500</v>
      </c>
      <c r="H122">
        <v>1915</v>
      </c>
      <c r="I122" s="14">
        <v>0.76600000000000001</v>
      </c>
    </row>
    <row r="123" spans="1:9" x14ac:dyDescent="0.2">
      <c r="A123" s="17">
        <v>44052</v>
      </c>
      <c r="B123" s="8" t="s">
        <v>5</v>
      </c>
      <c r="C123" t="s">
        <v>111</v>
      </c>
      <c r="D123" s="8" t="str">
        <f t="shared" si="4"/>
        <v>OB1</v>
      </c>
      <c r="E123" s="8" t="str">
        <f t="shared" si="5"/>
        <v>1600</v>
      </c>
      <c r="F123" s="4" t="str">
        <f t="shared" si="6"/>
        <v>OB1_1600</v>
      </c>
      <c r="G123">
        <v>1000</v>
      </c>
      <c r="H123">
        <v>2865</v>
      </c>
      <c r="I123" s="14">
        <v>2.8650000000000002</v>
      </c>
    </row>
    <row r="124" spans="1:9" x14ac:dyDescent="0.2">
      <c r="A124" s="17">
        <v>44052</v>
      </c>
      <c r="B124" s="8" t="s">
        <v>5</v>
      </c>
      <c r="C124" t="s">
        <v>112</v>
      </c>
      <c r="D124" s="8" t="str">
        <f t="shared" si="4"/>
        <v>OB1</v>
      </c>
      <c r="E124" s="8" t="str">
        <f t="shared" si="5"/>
        <v>1620</v>
      </c>
      <c r="F124" s="4" t="str">
        <f t="shared" si="6"/>
        <v>OB1_1620</v>
      </c>
      <c r="G124">
        <v>300</v>
      </c>
      <c r="H124">
        <v>240</v>
      </c>
      <c r="I124" s="14">
        <v>0.8</v>
      </c>
    </row>
    <row r="125" spans="1:9" x14ac:dyDescent="0.2">
      <c r="A125" s="17">
        <v>44052</v>
      </c>
      <c r="B125" s="8" t="s">
        <v>5</v>
      </c>
      <c r="C125" t="s">
        <v>113</v>
      </c>
      <c r="D125" s="8" t="str">
        <f t="shared" si="4"/>
        <v>OB1</v>
      </c>
      <c r="E125" s="8" t="str">
        <f t="shared" si="5"/>
        <v>1620</v>
      </c>
      <c r="F125" s="4" t="str">
        <f t="shared" si="6"/>
        <v>OB1_1620</v>
      </c>
      <c r="G125">
        <v>500</v>
      </c>
      <c r="H125">
        <v>0</v>
      </c>
      <c r="I125" s="14">
        <v>0</v>
      </c>
    </row>
    <row r="126" spans="1:9" x14ac:dyDescent="0.2">
      <c r="A126" s="17">
        <v>44053</v>
      </c>
      <c r="B126" s="8" t="s">
        <v>4</v>
      </c>
      <c r="C126" t="s">
        <v>98</v>
      </c>
      <c r="D126" s="8" t="str">
        <f t="shared" si="4"/>
        <v>OB6</v>
      </c>
      <c r="E126" s="8" t="str">
        <f t="shared" si="5"/>
        <v>1910</v>
      </c>
      <c r="F126" s="4" t="str">
        <f t="shared" si="6"/>
        <v>OB6_1910</v>
      </c>
      <c r="G126">
        <v>2000</v>
      </c>
      <c r="H126">
        <v>2280</v>
      </c>
      <c r="I126" s="14">
        <v>1.1399999999999999</v>
      </c>
    </row>
    <row r="127" spans="1:9" x14ac:dyDescent="0.2">
      <c r="A127" s="17">
        <v>44053</v>
      </c>
      <c r="B127" s="8" t="s">
        <v>4</v>
      </c>
      <c r="C127" t="s">
        <v>114</v>
      </c>
      <c r="D127" s="8" t="str">
        <f t="shared" si="4"/>
        <v>OB6</v>
      </c>
      <c r="E127" s="8" t="str">
        <f t="shared" si="5"/>
        <v>1910</v>
      </c>
      <c r="F127" s="4" t="str">
        <f t="shared" si="6"/>
        <v>OB6_1910</v>
      </c>
      <c r="G127">
        <v>2000</v>
      </c>
      <c r="H127">
        <v>1120</v>
      </c>
      <c r="I127" s="14">
        <v>0.56000000000000005</v>
      </c>
    </row>
    <row r="128" spans="1:9" x14ac:dyDescent="0.2">
      <c r="A128" s="17">
        <v>44053</v>
      </c>
      <c r="B128" s="8" t="s">
        <v>4</v>
      </c>
      <c r="C128" t="s">
        <v>77</v>
      </c>
      <c r="D128" s="8" t="str">
        <f t="shared" si="4"/>
        <v>OB6</v>
      </c>
      <c r="E128" s="8" t="str">
        <f t="shared" si="5"/>
        <v>1880</v>
      </c>
      <c r="F128" s="4" t="str">
        <f t="shared" si="6"/>
        <v>OB6_1880</v>
      </c>
      <c r="G128">
        <v>2000</v>
      </c>
      <c r="H128">
        <v>1720</v>
      </c>
      <c r="I128" s="14">
        <v>0.86</v>
      </c>
    </row>
    <row r="129" spans="1:9" x14ac:dyDescent="0.2">
      <c r="A129" s="17">
        <v>44053</v>
      </c>
      <c r="B129" s="8" t="s">
        <v>4</v>
      </c>
      <c r="C129" t="s">
        <v>103</v>
      </c>
      <c r="D129" s="8" t="str">
        <f t="shared" si="4"/>
        <v>OB6</v>
      </c>
      <c r="E129" s="8" t="str">
        <f t="shared" si="5"/>
        <v>1880</v>
      </c>
      <c r="F129" s="4" t="str">
        <f t="shared" si="6"/>
        <v>OB6_1880</v>
      </c>
      <c r="G129">
        <v>1200</v>
      </c>
      <c r="H129">
        <v>1160</v>
      </c>
      <c r="I129" s="14">
        <v>0.96666666666666667</v>
      </c>
    </row>
    <row r="130" spans="1:9" x14ac:dyDescent="0.2">
      <c r="A130" s="17">
        <v>44053</v>
      </c>
      <c r="B130" s="8" t="s">
        <v>4</v>
      </c>
      <c r="C130" t="s">
        <v>115</v>
      </c>
      <c r="D130" s="8" t="str">
        <f t="shared" si="4"/>
        <v>OB6</v>
      </c>
      <c r="E130" s="8" t="str">
        <f t="shared" si="5"/>
        <v>1880</v>
      </c>
      <c r="F130" s="4" t="str">
        <f t="shared" si="6"/>
        <v>OB6_1880</v>
      </c>
      <c r="G130">
        <v>200</v>
      </c>
      <c r="H130">
        <v>320</v>
      </c>
      <c r="I130" s="14">
        <v>1.6</v>
      </c>
    </row>
    <row r="131" spans="1:9" x14ac:dyDescent="0.2">
      <c r="A131" s="17">
        <v>44053</v>
      </c>
      <c r="B131" s="8" t="s">
        <v>4</v>
      </c>
      <c r="C131" t="s">
        <v>104</v>
      </c>
      <c r="D131" s="8" t="str">
        <f t="shared" si="4"/>
        <v>OB2</v>
      </c>
      <c r="E131" s="8" t="str">
        <f t="shared" si="5"/>
        <v>1820</v>
      </c>
      <c r="F131" s="4" t="str">
        <f t="shared" si="6"/>
        <v>OB2_1820</v>
      </c>
      <c r="G131">
        <v>200</v>
      </c>
      <c r="H131">
        <v>0</v>
      </c>
      <c r="I131" s="14">
        <v>0</v>
      </c>
    </row>
    <row r="132" spans="1:9" x14ac:dyDescent="0.2">
      <c r="A132" s="17">
        <v>44053</v>
      </c>
      <c r="B132" s="8" t="s">
        <v>4</v>
      </c>
      <c r="C132" t="s">
        <v>81</v>
      </c>
      <c r="D132" s="8" t="str">
        <f t="shared" si="4"/>
        <v>OB6</v>
      </c>
      <c r="E132" s="8" t="str">
        <f t="shared" si="5"/>
        <v>1600</v>
      </c>
      <c r="F132" s="4" t="str">
        <f t="shared" si="6"/>
        <v>OB6_1600</v>
      </c>
      <c r="G132">
        <v>1000</v>
      </c>
      <c r="H132">
        <v>800</v>
      </c>
      <c r="I132" s="14">
        <v>0.8</v>
      </c>
    </row>
    <row r="133" spans="1:9" x14ac:dyDescent="0.2">
      <c r="A133" s="17">
        <v>44053</v>
      </c>
      <c r="B133" s="8" t="s">
        <v>4</v>
      </c>
      <c r="C133" t="s">
        <v>105</v>
      </c>
      <c r="D133" s="8" t="str">
        <f t="shared" ref="D133:D196" si="7">MID(C133,FIND("OB",C133),3)</f>
        <v>OB6</v>
      </c>
      <c r="E133" s="8" t="str">
        <f t="shared" ref="E133:E195" si="8">MID(C133,FIND("_",C133)+1,4)</f>
        <v>1650</v>
      </c>
      <c r="F133" s="4" t="str">
        <f t="shared" ref="F133:F196" si="9">_xlfn.CONCAT(D133,"_",E133)</f>
        <v>OB6_1650</v>
      </c>
      <c r="G133">
        <v>400</v>
      </c>
      <c r="H133">
        <v>600</v>
      </c>
      <c r="I133" s="14">
        <v>1.5</v>
      </c>
    </row>
    <row r="134" spans="1:9" x14ac:dyDescent="0.2">
      <c r="A134" s="17">
        <v>44053</v>
      </c>
      <c r="B134" s="8" t="s">
        <v>4</v>
      </c>
      <c r="C134" t="s">
        <v>95</v>
      </c>
      <c r="D134" s="8" t="str">
        <f t="shared" si="7"/>
        <v>OB6</v>
      </c>
      <c r="E134" s="8" t="str">
        <f t="shared" si="8"/>
        <v>1640</v>
      </c>
      <c r="F134" s="4" t="str">
        <f t="shared" si="9"/>
        <v>OB6_1640</v>
      </c>
      <c r="G134">
        <v>400</v>
      </c>
      <c r="H134">
        <v>440</v>
      </c>
      <c r="I134" s="14">
        <v>1.1000000000000001</v>
      </c>
    </row>
    <row r="135" spans="1:9" x14ac:dyDescent="0.2">
      <c r="A135" s="17">
        <v>44053</v>
      </c>
      <c r="B135" s="8" t="s">
        <v>5</v>
      </c>
      <c r="C135" t="s">
        <v>98</v>
      </c>
      <c r="D135" s="8" t="str">
        <f t="shared" si="7"/>
        <v>OB6</v>
      </c>
      <c r="E135" s="8" t="str">
        <f t="shared" si="8"/>
        <v>1910</v>
      </c>
      <c r="F135" s="4" t="str">
        <f t="shared" si="9"/>
        <v>OB6_1910</v>
      </c>
      <c r="G135">
        <v>1600</v>
      </c>
      <c r="H135">
        <v>0</v>
      </c>
      <c r="I135" s="14">
        <v>0</v>
      </c>
    </row>
    <row r="136" spans="1:9" x14ac:dyDescent="0.2">
      <c r="A136" s="17">
        <v>44053</v>
      </c>
      <c r="B136" s="8" t="s">
        <v>5</v>
      </c>
      <c r="C136" t="s">
        <v>77</v>
      </c>
      <c r="D136" s="8" t="str">
        <f t="shared" si="7"/>
        <v>OB6</v>
      </c>
      <c r="E136" s="8" t="str">
        <f t="shared" si="8"/>
        <v>1880</v>
      </c>
      <c r="F136" s="4" t="str">
        <f t="shared" si="9"/>
        <v>OB6_1880</v>
      </c>
      <c r="G136">
        <v>2000</v>
      </c>
      <c r="H136">
        <v>1720</v>
      </c>
      <c r="I136" s="14">
        <v>0.86</v>
      </c>
    </row>
    <row r="137" spans="1:9" x14ac:dyDescent="0.2">
      <c r="A137" s="17">
        <v>44053</v>
      </c>
      <c r="B137" s="8" t="s">
        <v>5</v>
      </c>
      <c r="C137" t="s">
        <v>103</v>
      </c>
      <c r="D137" s="8" t="str">
        <f t="shared" si="7"/>
        <v>OB6</v>
      </c>
      <c r="E137" s="8" t="str">
        <f t="shared" si="8"/>
        <v>1880</v>
      </c>
      <c r="F137" s="4" t="str">
        <f t="shared" si="9"/>
        <v>OB6_1880</v>
      </c>
      <c r="G137">
        <v>1700</v>
      </c>
      <c r="H137">
        <v>1680</v>
      </c>
      <c r="I137" s="14">
        <v>0.9882352941176471</v>
      </c>
    </row>
    <row r="138" spans="1:9" x14ac:dyDescent="0.2">
      <c r="A138" s="17">
        <v>44053</v>
      </c>
      <c r="B138" s="8" t="s">
        <v>5</v>
      </c>
      <c r="C138" t="s">
        <v>116</v>
      </c>
      <c r="D138" s="8" t="str">
        <f t="shared" si="7"/>
        <v>OB5</v>
      </c>
      <c r="E138" s="8" t="str">
        <f>MID(C138,FIND("_",C138)+9,4)</f>
        <v>1800</v>
      </c>
      <c r="F138" s="4" t="str">
        <f t="shared" si="9"/>
        <v>OB5_1800</v>
      </c>
      <c r="G138">
        <v>400</v>
      </c>
      <c r="H138">
        <v>320</v>
      </c>
      <c r="I138" s="14">
        <v>0.8</v>
      </c>
    </row>
    <row r="139" spans="1:9" x14ac:dyDescent="0.2">
      <c r="A139" s="17">
        <v>44053</v>
      </c>
      <c r="B139" s="8" t="s">
        <v>5</v>
      </c>
      <c r="C139" t="s">
        <v>115</v>
      </c>
      <c r="D139" s="8" t="str">
        <f t="shared" si="7"/>
        <v>OB6</v>
      </c>
      <c r="E139" s="8" t="str">
        <f t="shared" si="8"/>
        <v>1880</v>
      </c>
      <c r="F139" s="4" t="str">
        <f t="shared" si="9"/>
        <v>OB6_1880</v>
      </c>
      <c r="G139">
        <v>200</v>
      </c>
      <c r="H139">
        <v>0</v>
      </c>
      <c r="I139" s="14">
        <v>0</v>
      </c>
    </row>
    <row r="140" spans="1:9" x14ac:dyDescent="0.2">
      <c r="A140" s="17">
        <v>44053</v>
      </c>
      <c r="B140" s="8" t="s">
        <v>5</v>
      </c>
      <c r="C140" t="s">
        <v>104</v>
      </c>
      <c r="D140" s="8" t="str">
        <f t="shared" si="7"/>
        <v>OB2</v>
      </c>
      <c r="E140" s="8" t="str">
        <f t="shared" si="8"/>
        <v>1820</v>
      </c>
      <c r="F140" s="4" t="str">
        <f t="shared" si="9"/>
        <v>OB2_1820</v>
      </c>
      <c r="G140">
        <v>200</v>
      </c>
      <c r="H140">
        <v>400</v>
      </c>
      <c r="I140" s="14">
        <v>2</v>
      </c>
    </row>
    <row r="141" spans="1:9" x14ac:dyDescent="0.2">
      <c r="A141" s="17">
        <v>44053</v>
      </c>
      <c r="B141" s="8" t="s">
        <v>5</v>
      </c>
      <c r="C141" t="s">
        <v>117</v>
      </c>
      <c r="D141" s="8" t="str">
        <f t="shared" si="7"/>
        <v>OB5</v>
      </c>
      <c r="E141" s="8" t="str">
        <f>MID(C141,FIND("_",C141)+5,4)</f>
        <v>1800</v>
      </c>
      <c r="F141" s="4" t="str">
        <f t="shared" si="9"/>
        <v>OB5_1800</v>
      </c>
      <c r="G141">
        <v>400</v>
      </c>
      <c r="H141">
        <v>0</v>
      </c>
      <c r="I141" s="14">
        <v>0</v>
      </c>
    </row>
    <row r="142" spans="1:9" x14ac:dyDescent="0.2">
      <c r="A142" s="17">
        <v>44053</v>
      </c>
      <c r="B142" s="8" t="s">
        <v>5</v>
      </c>
      <c r="C142" t="s">
        <v>118</v>
      </c>
      <c r="D142" s="8" t="str">
        <f t="shared" si="7"/>
        <v>OB1</v>
      </c>
      <c r="E142" s="8" t="str">
        <f t="shared" si="8"/>
        <v>1600</v>
      </c>
      <c r="F142" s="4" t="str">
        <f t="shared" si="9"/>
        <v>OB1_1600</v>
      </c>
      <c r="G142">
        <v>3500</v>
      </c>
      <c r="H142">
        <v>3920</v>
      </c>
      <c r="I142" s="14">
        <v>1.1200000000000001</v>
      </c>
    </row>
    <row r="143" spans="1:9" x14ac:dyDescent="0.2">
      <c r="A143" s="17">
        <v>44054</v>
      </c>
      <c r="B143" s="8" t="s">
        <v>4</v>
      </c>
      <c r="C143" t="s">
        <v>114</v>
      </c>
      <c r="D143" s="8" t="str">
        <f t="shared" si="7"/>
        <v>OB6</v>
      </c>
      <c r="E143" s="8" t="str">
        <f t="shared" si="8"/>
        <v>1910</v>
      </c>
      <c r="F143" s="4" t="str">
        <f t="shared" si="9"/>
        <v>OB6_1910</v>
      </c>
      <c r="G143">
        <v>2500</v>
      </c>
      <c r="H143">
        <v>2400</v>
      </c>
      <c r="I143" s="14">
        <v>0.96</v>
      </c>
    </row>
    <row r="144" spans="1:9" x14ac:dyDescent="0.2">
      <c r="A144" s="17">
        <v>44054</v>
      </c>
      <c r="B144" s="8" t="s">
        <v>4</v>
      </c>
      <c r="C144" t="s">
        <v>77</v>
      </c>
      <c r="D144" s="8" t="str">
        <f t="shared" si="7"/>
        <v>OB6</v>
      </c>
      <c r="E144" s="8" t="str">
        <f t="shared" si="8"/>
        <v>1880</v>
      </c>
      <c r="F144" s="4" t="str">
        <f t="shared" si="9"/>
        <v>OB6_1880</v>
      </c>
      <c r="G144">
        <v>1500</v>
      </c>
      <c r="H144">
        <v>1120</v>
      </c>
      <c r="I144" s="14">
        <v>0.7466666666666667</v>
      </c>
    </row>
    <row r="145" spans="1:9" x14ac:dyDescent="0.2">
      <c r="A145" s="17">
        <v>44054</v>
      </c>
      <c r="B145" s="8" t="s">
        <v>4</v>
      </c>
      <c r="C145" t="s">
        <v>103</v>
      </c>
      <c r="D145" s="8" t="str">
        <f t="shared" si="7"/>
        <v>OB6</v>
      </c>
      <c r="E145" s="8" t="str">
        <f t="shared" si="8"/>
        <v>1880</v>
      </c>
      <c r="F145" s="4" t="str">
        <f t="shared" si="9"/>
        <v>OB6_1880</v>
      </c>
      <c r="G145">
        <v>1300</v>
      </c>
      <c r="H145">
        <v>680</v>
      </c>
      <c r="I145" s="14">
        <v>0.52307692307692311</v>
      </c>
    </row>
    <row r="146" spans="1:9" x14ac:dyDescent="0.2">
      <c r="A146" s="17">
        <v>44054</v>
      </c>
      <c r="B146" s="8" t="s">
        <v>4</v>
      </c>
      <c r="C146" t="s">
        <v>119</v>
      </c>
      <c r="D146" s="8" t="str">
        <f t="shared" si="7"/>
        <v>OB2</v>
      </c>
      <c r="E146" s="8" t="str">
        <f t="shared" si="8"/>
        <v>1880</v>
      </c>
      <c r="F146" s="4" t="str">
        <f t="shared" si="9"/>
        <v>OB2_1880</v>
      </c>
      <c r="G146">
        <v>200</v>
      </c>
      <c r="H146">
        <v>600</v>
      </c>
      <c r="I146" s="14">
        <v>3</v>
      </c>
    </row>
    <row r="147" spans="1:9" x14ac:dyDescent="0.2">
      <c r="A147" s="17">
        <v>44054</v>
      </c>
      <c r="B147" s="8" t="s">
        <v>4</v>
      </c>
      <c r="C147" t="s">
        <v>120</v>
      </c>
      <c r="D147" s="8" t="str">
        <f t="shared" si="7"/>
        <v>OB5</v>
      </c>
      <c r="E147" s="8" t="str">
        <f t="shared" si="8"/>
        <v>1800</v>
      </c>
      <c r="F147" s="4" t="str">
        <f t="shared" si="9"/>
        <v>OB5_1800</v>
      </c>
      <c r="G147">
        <v>500</v>
      </c>
      <c r="H147">
        <v>0</v>
      </c>
      <c r="I147" s="14">
        <v>0</v>
      </c>
    </row>
    <row r="148" spans="1:9" x14ac:dyDescent="0.2">
      <c r="A148" s="17">
        <v>44054</v>
      </c>
      <c r="B148" s="8" t="s">
        <v>4</v>
      </c>
      <c r="C148" t="s">
        <v>118</v>
      </c>
      <c r="D148" s="8" t="str">
        <f t="shared" si="7"/>
        <v>OB1</v>
      </c>
      <c r="E148" s="8" t="str">
        <f t="shared" si="8"/>
        <v>1600</v>
      </c>
      <c r="F148" s="4" t="str">
        <f t="shared" si="9"/>
        <v>OB1_1600</v>
      </c>
      <c r="G148">
        <v>3000</v>
      </c>
      <c r="H148">
        <v>3030</v>
      </c>
      <c r="I148" s="14">
        <v>1.01</v>
      </c>
    </row>
    <row r="149" spans="1:9" x14ac:dyDescent="0.2">
      <c r="A149" s="17">
        <v>44054</v>
      </c>
      <c r="B149" s="8" t="s">
        <v>4</v>
      </c>
      <c r="C149" t="s">
        <v>91</v>
      </c>
      <c r="D149" s="8" t="str">
        <f t="shared" si="7"/>
        <v>OB5</v>
      </c>
      <c r="E149" s="8" t="str">
        <f t="shared" si="8"/>
        <v>1680</v>
      </c>
      <c r="F149" s="4" t="str">
        <f t="shared" si="9"/>
        <v>OB5_1680</v>
      </c>
      <c r="G149">
        <v>300</v>
      </c>
      <c r="H149">
        <v>350</v>
      </c>
      <c r="I149" s="14">
        <v>1.1666666666666667</v>
      </c>
    </row>
    <row r="150" spans="1:9" x14ac:dyDescent="0.2">
      <c r="A150" s="17">
        <v>44054</v>
      </c>
      <c r="B150" s="8" t="s">
        <v>4</v>
      </c>
      <c r="C150" t="s">
        <v>121</v>
      </c>
      <c r="D150" s="8" t="str">
        <f t="shared" si="7"/>
        <v>OB6</v>
      </c>
      <c r="E150" s="8" t="str">
        <f t="shared" si="8"/>
        <v>1580</v>
      </c>
      <c r="F150" s="4" t="str">
        <f t="shared" si="9"/>
        <v>OB6_1580</v>
      </c>
      <c r="G150">
        <v>400</v>
      </c>
      <c r="H150">
        <v>910</v>
      </c>
      <c r="I150" s="14">
        <v>2.2749999999999999</v>
      </c>
    </row>
    <row r="151" spans="1:9" x14ac:dyDescent="0.2">
      <c r="A151" s="17">
        <v>44054</v>
      </c>
      <c r="B151" s="8" t="s">
        <v>5</v>
      </c>
      <c r="C151" t="s">
        <v>114</v>
      </c>
      <c r="D151" s="8" t="str">
        <f t="shared" si="7"/>
        <v>OB6</v>
      </c>
      <c r="E151" s="8" t="str">
        <f t="shared" si="8"/>
        <v>1910</v>
      </c>
      <c r="F151" s="4" t="str">
        <f t="shared" si="9"/>
        <v>OB6_1910</v>
      </c>
      <c r="G151">
        <v>3500</v>
      </c>
      <c r="H151">
        <v>3080</v>
      </c>
      <c r="I151" s="14">
        <v>0.88</v>
      </c>
    </row>
    <row r="152" spans="1:9" x14ac:dyDescent="0.2">
      <c r="A152" s="17">
        <v>44054</v>
      </c>
      <c r="B152" s="8" t="s">
        <v>5</v>
      </c>
      <c r="C152" t="s">
        <v>77</v>
      </c>
      <c r="D152" s="8" t="str">
        <f t="shared" si="7"/>
        <v>OB6</v>
      </c>
      <c r="E152" s="8" t="str">
        <f t="shared" si="8"/>
        <v>1880</v>
      </c>
      <c r="F152" s="4" t="str">
        <f t="shared" si="9"/>
        <v>OB6_1880</v>
      </c>
      <c r="G152">
        <v>700</v>
      </c>
      <c r="H152">
        <v>1000</v>
      </c>
      <c r="I152" s="14">
        <v>1.4285714285714286</v>
      </c>
    </row>
    <row r="153" spans="1:9" x14ac:dyDescent="0.2">
      <c r="A153" s="17">
        <v>44054</v>
      </c>
      <c r="B153" s="8" t="s">
        <v>5</v>
      </c>
      <c r="C153" t="s">
        <v>122</v>
      </c>
      <c r="D153" s="8" t="str">
        <f t="shared" si="7"/>
        <v>OB2</v>
      </c>
      <c r="E153" s="8" t="str">
        <f>MID(C153,FIND("_",C153)+7,4)</f>
        <v>1880</v>
      </c>
      <c r="F153" s="4" t="str">
        <f t="shared" si="9"/>
        <v>OB2_1880</v>
      </c>
      <c r="G153">
        <v>300</v>
      </c>
      <c r="H153">
        <v>400</v>
      </c>
      <c r="I153" s="14">
        <v>1.3333333333333333</v>
      </c>
    </row>
    <row r="154" spans="1:9" x14ac:dyDescent="0.2">
      <c r="A154" s="17">
        <v>44054</v>
      </c>
      <c r="B154" s="8" t="s">
        <v>5</v>
      </c>
      <c r="C154" t="s">
        <v>123</v>
      </c>
      <c r="D154" s="8" t="str">
        <f t="shared" si="7"/>
        <v>OB5</v>
      </c>
      <c r="E154" s="8" t="str">
        <f>MID(C154,FIND("_",C154)+7,4)</f>
        <v>1800</v>
      </c>
      <c r="F154" s="4" t="str">
        <f t="shared" si="9"/>
        <v>OB5_1800</v>
      </c>
      <c r="G154">
        <v>500</v>
      </c>
      <c r="H154">
        <v>560</v>
      </c>
      <c r="I154" s="14">
        <v>1.1200000000000001</v>
      </c>
    </row>
    <row r="155" spans="1:9" x14ac:dyDescent="0.2">
      <c r="A155" s="17">
        <v>44054</v>
      </c>
      <c r="B155" s="8" t="s">
        <v>5</v>
      </c>
      <c r="C155" t="s">
        <v>119</v>
      </c>
      <c r="D155" s="8" t="str">
        <f t="shared" si="7"/>
        <v>OB2</v>
      </c>
      <c r="E155" s="8" t="str">
        <f t="shared" si="8"/>
        <v>1880</v>
      </c>
      <c r="F155" s="4" t="str">
        <f t="shared" si="9"/>
        <v>OB2_1880</v>
      </c>
      <c r="G155">
        <v>200</v>
      </c>
      <c r="H155">
        <v>0</v>
      </c>
      <c r="I155" s="14">
        <v>0</v>
      </c>
    </row>
    <row r="156" spans="1:9" x14ac:dyDescent="0.2">
      <c r="A156" s="17">
        <v>44054</v>
      </c>
      <c r="B156" s="8" t="s">
        <v>5</v>
      </c>
      <c r="C156" t="s">
        <v>120</v>
      </c>
      <c r="D156" s="8" t="str">
        <f t="shared" si="7"/>
        <v>OB5</v>
      </c>
      <c r="E156" s="8" t="str">
        <f t="shared" si="8"/>
        <v>1800</v>
      </c>
      <c r="F156" s="4" t="str">
        <f t="shared" si="9"/>
        <v>OB5_1800</v>
      </c>
      <c r="G156">
        <v>600</v>
      </c>
      <c r="H156">
        <v>0</v>
      </c>
      <c r="I156" s="14">
        <v>0</v>
      </c>
    </row>
    <row r="157" spans="1:9" x14ac:dyDescent="0.2">
      <c r="A157" s="17">
        <v>44054</v>
      </c>
      <c r="B157" s="8" t="s">
        <v>5</v>
      </c>
      <c r="C157" t="s">
        <v>104</v>
      </c>
      <c r="D157" s="8" t="str">
        <f t="shared" si="7"/>
        <v>OB2</v>
      </c>
      <c r="E157" s="8" t="str">
        <f t="shared" si="8"/>
        <v>1820</v>
      </c>
      <c r="F157" s="4" t="str">
        <f t="shared" si="9"/>
        <v>OB2_1820</v>
      </c>
      <c r="G157">
        <v>200</v>
      </c>
      <c r="H157">
        <v>0</v>
      </c>
      <c r="I157" s="14">
        <v>0</v>
      </c>
    </row>
    <row r="158" spans="1:9" x14ac:dyDescent="0.2">
      <c r="A158" s="17">
        <v>44054</v>
      </c>
      <c r="B158" s="8" t="s">
        <v>5</v>
      </c>
      <c r="C158" t="s">
        <v>118</v>
      </c>
      <c r="D158" s="8" t="str">
        <f t="shared" si="7"/>
        <v>OB1</v>
      </c>
      <c r="E158" s="8" t="str">
        <f t="shared" si="8"/>
        <v>1600</v>
      </c>
      <c r="F158" s="4" t="str">
        <f t="shared" si="9"/>
        <v>OB1_1600</v>
      </c>
      <c r="G158">
        <v>3500</v>
      </c>
      <c r="H158">
        <v>4400</v>
      </c>
      <c r="I158" s="14">
        <v>1.2571428571428571</v>
      </c>
    </row>
    <row r="159" spans="1:9" x14ac:dyDescent="0.2">
      <c r="A159" s="17">
        <v>44055</v>
      </c>
      <c r="B159" s="8" t="s">
        <v>4</v>
      </c>
      <c r="C159" t="s">
        <v>114</v>
      </c>
      <c r="D159" s="8" t="str">
        <f t="shared" si="7"/>
        <v>OB6</v>
      </c>
      <c r="E159" s="8" t="str">
        <f t="shared" si="8"/>
        <v>1910</v>
      </c>
      <c r="F159" s="4" t="str">
        <f t="shared" si="9"/>
        <v>OB6_1910</v>
      </c>
      <c r="G159">
        <v>3500</v>
      </c>
      <c r="H159">
        <v>3280</v>
      </c>
      <c r="I159" s="14">
        <v>0.93714285714285717</v>
      </c>
    </row>
    <row r="160" spans="1:9" x14ac:dyDescent="0.2">
      <c r="A160" s="17">
        <v>44055</v>
      </c>
      <c r="B160" s="8" t="s">
        <v>4</v>
      </c>
      <c r="C160" t="s">
        <v>77</v>
      </c>
      <c r="D160" s="8" t="str">
        <f t="shared" si="7"/>
        <v>OB6</v>
      </c>
      <c r="E160" s="8" t="str">
        <f t="shared" si="8"/>
        <v>1880</v>
      </c>
      <c r="F160" s="4" t="str">
        <f t="shared" si="9"/>
        <v>OB6_1880</v>
      </c>
      <c r="G160">
        <v>700</v>
      </c>
      <c r="H160">
        <v>680</v>
      </c>
      <c r="I160" s="14">
        <v>0.97142857142857142</v>
      </c>
    </row>
    <row r="161" spans="1:9" x14ac:dyDescent="0.2">
      <c r="A161" s="17">
        <v>44055</v>
      </c>
      <c r="B161" s="8" t="s">
        <v>4</v>
      </c>
      <c r="C161" t="s">
        <v>124</v>
      </c>
      <c r="D161" s="8" t="str">
        <f t="shared" si="7"/>
        <v>OB6</v>
      </c>
      <c r="E161" s="8" t="str">
        <f t="shared" si="8"/>
        <v>1910</v>
      </c>
      <c r="F161" s="4" t="str">
        <f t="shared" si="9"/>
        <v>OB6_1910</v>
      </c>
      <c r="G161">
        <v>400</v>
      </c>
      <c r="H161">
        <v>0</v>
      </c>
      <c r="I161" s="14">
        <v>0</v>
      </c>
    </row>
    <row r="162" spans="1:9" x14ac:dyDescent="0.2">
      <c r="A162" s="17">
        <v>44055</v>
      </c>
      <c r="B162" s="8" t="s">
        <v>4</v>
      </c>
      <c r="C162" t="s">
        <v>125</v>
      </c>
      <c r="D162" s="8" t="str">
        <f t="shared" si="7"/>
        <v>OB2</v>
      </c>
      <c r="E162" s="8" t="str">
        <f t="shared" si="8"/>
        <v>1880</v>
      </c>
      <c r="F162" s="4" t="str">
        <f t="shared" si="9"/>
        <v>OB2_1880</v>
      </c>
      <c r="G162">
        <v>400</v>
      </c>
      <c r="H162">
        <v>1160</v>
      </c>
      <c r="I162" s="14">
        <v>2.9</v>
      </c>
    </row>
    <row r="163" spans="1:9" x14ac:dyDescent="0.2">
      <c r="A163" s="17">
        <v>44055</v>
      </c>
      <c r="B163" s="8" t="s">
        <v>4</v>
      </c>
      <c r="C163" t="s">
        <v>120</v>
      </c>
      <c r="D163" s="8" t="str">
        <f t="shared" si="7"/>
        <v>OB5</v>
      </c>
      <c r="E163" s="8" t="str">
        <f t="shared" si="8"/>
        <v>1800</v>
      </c>
      <c r="F163" s="4" t="str">
        <f t="shared" si="9"/>
        <v>OB5_1800</v>
      </c>
      <c r="G163">
        <v>300</v>
      </c>
      <c r="H163">
        <v>585</v>
      </c>
      <c r="I163" s="14">
        <v>1.95</v>
      </c>
    </row>
    <row r="164" spans="1:9" x14ac:dyDescent="0.2">
      <c r="A164" s="17">
        <v>44055</v>
      </c>
      <c r="B164" s="8" t="s">
        <v>4</v>
      </c>
      <c r="C164" t="s">
        <v>126</v>
      </c>
      <c r="D164" s="8" t="str">
        <f t="shared" si="7"/>
        <v>OB2</v>
      </c>
      <c r="E164" s="8" t="str">
        <f t="shared" si="8"/>
        <v>1650</v>
      </c>
      <c r="F164" s="4" t="str">
        <f t="shared" si="9"/>
        <v>OB2_1650</v>
      </c>
      <c r="G164">
        <v>1000</v>
      </c>
      <c r="H164">
        <v>0</v>
      </c>
      <c r="I164" s="14">
        <v>0</v>
      </c>
    </row>
    <row r="165" spans="1:9" x14ac:dyDescent="0.2">
      <c r="A165" s="17">
        <v>44055</v>
      </c>
      <c r="B165" s="8" t="s">
        <v>4</v>
      </c>
      <c r="C165" t="s">
        <v>118</v>
      </c>
      <c r="D165" s="8" t="str">
        <f t="shared" si="7"/>
        <v>OB1</v>
      </c>
      <c r="E165" s="8" t="str">
        <f t="shared" si="8"/>
        <v>1600</v>
      </c>
      <c r="F165" s="4" t="str">
        <f t="shared" si="9"/>
        <v>OB1_1600</v>
      </c>
      <c r="G165">
        <v>2500</v>
      </c>
      <c r="H165">
        <v>2000</v>
      </c>
      <c r="I165" s="14">
        <v>0.8</v>
      </c>
    </row>
    <row r="166" spans="1:9" x14ac:dyDescent="0.2">
      <c r="A166" s="17">
        <v>44055</v>
      </c>
      <c r="B166" s="8" t="s">
        <v>4</v>
      </c>
      <c r="C166" t="s">
        <v>127</v>
      </c>
      <c r="D166" s="8" t="str">
        <f t="shared" si="7"/>
        <v>OB1</v>
      </c>
      <c r="E166" s="8" t="str">
        <f t="shared" si="8"/>
        <v>1650</v>
      </c>
      <c r="F166" s="4" t="str">
        <f t="shared" si="9"/>
        <v>OB1_1650</v>
      </c>
      <c r="G166">
        <v>300</v>
      </c>
      <c r="H166">
        <v>800</v>
      </c>
      <c r="I166" s="14">
        <v>2.6666666666666665</v>
      </c>
    </row>
    <row r="167" spans="1:9" x14ac:dyDescent="0.2">
      <c r="A167" s="17">
        <v>44055</v>
      </c>
      <c r="B167" s="8" t="s">
        <v>4</v>
      </c>
      <c r="C167" t="s">
        <v>128</v>
      </c>
      <c r="D167" s="8" t="str">
        <f t="shared" si="7"/>
        <v>OB1</v>
      </c>
      <c r="E167" s="8" t="str">
        <f t="shared" si="8"/>
        <v>1650</v>
      </c>
      <c r="F167" s="4" t="str">
        <f t="shared" si="9"/>
        <v>OB1_1650</v>
      </c>
      <c r="G167">
        <v>400</v>
      </c>
      <c r="H167">
        <v>0</v>
      </c>
      <c r="I167" s="14">
        <v>0</v>
      </c>
    </row>
    <row r="168" spans="1:9" x14ac:dyDescent="0.2">
      <c r="A168" s="17">
        <v>44055</v>
      </c>
      <c r="B168" s="8" t="s">
        <v>5</v>
      </c>
      <c r="C168" t="s">
        <v>114</v>
      </c>
      <c r="D168" s="8" t="str">
        <f t="shared" si="7"/>
        <v>OB6</v>
      </c>
      <c r="E168" s="8" t="str">
        <f t="shared" si="8"/>
        <v>1910</v>
      </c>
      <c r="F168" s="4" t="str">
        <f t="shared" si="9"/>
        <v>OB6_1910</v>
      </c>
      <c r="G168">
        <v>3000</v>
      </c>
      <c r="H168">
        <v>2160</v>
      </c>
      <c r="I168" s="14">
        <v>0.72</v>
      </c>
    </row>
    <row r="169" spans="1:9" x14ac:dyDescent="0.2">
      <c r="A169" s="17">
        <v>44055</v>
      </c>
      <c r="B169" s="8" t="s">
        <v>5</v>
      </c>
      <c r="C169" t="s">
        <v>120</v>
      </c>
      <c r="D169" s="8" t="str">
        <f t="shared" si="7"/>
        <v>OB5</v>
      </c>
      <c r="E169" s="8" t="str">
        <f t="shared" si="8"/>
        <v>1800</v>
      </c>
      <c r="F169" s="4" t="str">
        <f t="shared" si="9"/>
        <v>OB5_1800</v>
      </c>
      <c r="G169">
        <v>400</v>
      </c>
      <c r="H169">
        <v>920</v>
      </c>
      <c r="I169" s="14">
        <v>2.2999999999999998</v>
      </c>
    </row>
    <row r="170" spans="1:9" x14ac:dyDescent="0.2">
      <c r="A170" s="17">
        <v>44055</v>
      </c>
      <c r="B170" s="8" t="s">
        <v>5</v>
      </c>
      <c r="C170" t="s">
        <v>100</v>
      </c>
      <c r="D170" s="8" t="str">
        <f t="shared" si="7"/>
        <v>OB9</v>
      </c>
      <c r="E170" s="8" t="str">
        <f t="shared" si="8"/>
        <v>1850</v>
      </c>
      <c r="F170" s="4" t="str">
        <f t="shared" si="9"/>
        <v>OB9_1850</v>
      </c>
      <c r="G170">
        <v>400</v>
      </c>
      <c r="H170">
        <v>0</v>
      </c>
      <c r="I170" s="14">
        <v>0</v>
      </c>
    </row>
    <row r="171" spans="1:9" x14ac:dyDescent="0.2">
      <c r="A171" s="17">
        <v>44055</v>
      </c>
      <c r="B171" s="8" t="s">
        <v>5</v>
      </c>
      <c r="C171" t="s">
        <v>129</v>
      </c>
      <c r="D171" s="8" t="str">
        <f t="shared" si="7"/>
        <v>OB5</v>
      </c>
      <c r="E171" s="8" t="str">
        <f t="shared" si="8"/>
        <v>1800</v>
      </c>
      <c r="F171" s="4" t="str">
        <f t="shared" si="9"/>
        <v>OB5_1800</v>
      </c>
      <c r="G171">
        <v>600</v>
      </c>
      <c r="H171">
        <v>0</v>
      </c>
      <c r="I171" s="14">
        <v>0</v>
      </c>
    </row>
    <row r="172" spans="1:9" x14ac:dyDescent="0.2">
      <c r="A172" s="17">
        <v>44055</v>
      </c>
      <c r="B172" s="8" t="s">
        <v>5</v>
      </c>
      <c r="C172" t="s">
        <v>126</v>
      </c>
      <c r="D172" s="8" t="str">
        <f t="shared" si="7"/>
        <v>OB2</v>
      </c>
      <c r="E172" s="8" t="str">
        <f t="shared" si="8"/>
        <v>1650</v>
      </c>
      <c r="F172" s="4" t="str">
        <f t="shared" si="9"/>
        <v>OB2_1650</v>
      </c>
      <c r="G172">
        <v>2000</v>
      </c>
      <c r="H172">
        <v>640</v>
      </c>
      <c r="I172" s="14">
        <v>0.32</v>
      </c>
    </row>
    <row r="173" spans="1:9" x14ac:dyDescent="0.2">
      <c r="A173" s="17">
        <v>44055</v>
      </c>
      <c r="B173" s="8" t="s">
        <v>5</v>
      </c>
      <c r="C173" t="s">
        <v>118</v>
      </c>
      <c r="D173" s="8" t="str">
        <f t="shared" si="7"/>
        <v>OB1</v>
      </c>
      <c r="E173" s="8" t="str">
        <f t="shared" si="8"/>
        <v>1600</v>
      </c>
      <c r="F173" s="4" t="str">
        <f t="shared" si="9"/>
        <v>OB1_1600</v>
      </c>
      <c r="G173">
        <v>1500</v>
      </c>
      <c r="H173">
        <v>2160</v>
      </c>
      <c r="I173" s="14">
        <v>1.44</v>
      </c>
    </row>
    <row r="174" spans="1:9" x14ac:dyDescent="0.2">
      <c r="A174" s="17">
        <v>44055</v>
      </c>
      <c r="B174" s="8" t="s">
        <v>5</v>
      </c>
      <c r="C174" t="s">
        <v>91</v>
      </c>
      <c r="D174" s="8" t="str">
        <f t="shared" si="7"/>
        <v>OB5</v>
      </c>
      <c r="E174" s="8" t="str">
        <f t="shared" si="8"/>
        <v>1680</v>
      </c>
      <c r="F174" s="4" t="str">
        <f t="shared" si="9"/>
        <v>OB5_1680</v>
      </c>
      <c r="G174">
        <v>400</v>
      </c>
      <c r="H174">
        <v>580</v>
      </c>
      <c r="I174" s="14">
        <v>1.45</v>
      </c>
    </row>
    <row r="175" spans="1:9" x14ac:dyDescent="0.2">
      <c r="A175" s="17">
        <v>44055</v>
      </c>
      <c r="B175" s="8" t="s">
        <v>5</v>
      </c>
      <c r="C175" t="s">
        <v>130</v>
      </c>
      <c r="D175" s="8" t="str">
        <f t="shared" si="7"/>
        <v>OB1</v>
      </c>
      <c r="E175" s="8" t="str">
        <f t="shared" si="8"/>
        <v>1620</v>
      </c>
      <c r="F175" s="4" t="str">
        <f t="shared" si="9"/>
        <v>OB1_1620</v>
      </c>
      <c r="G175">
        <v>400</v>
      </c>
      <c r="H175">
        <v>0</v>
      </c>
      <c r="I175" s="14">
        <v>0</v>
      </c>
    </row>
    <row r="176" spans="1:9" x14ac:dyDescent="0.2">
      <c r="A176" s="17">
        <v>44055</v>
      </c>
      <c r="B176" s="8" t="s">
        <v>5</v>
      </c>
      <c r="C176" t="s">
        <v>121</v>
      </c>
      <c r="D176" s="8" t="str">
        <f t="shared" si="7"/>
        <v>OB6</v>
      </c>
      <c r="E176" s="8" t="str">
        <f t="shared" si="8"/>
        <v>1580</v>
      </c>
      <c r="F176" s="4" t="str">
        <f t="shared" si="9"/>
        <v>OB6_1580</v>
      </c>
      <c r="G176">
        <v>400</v>
      </c>
      <c r="H176">
        <v>80</v>
      </c>
      <c r="I176" s="14">
        <v>0.2</v>
      </c>
    </row>
    <row r="177" spans="1:9" x14ac:dyDescent="0.2">
      <c r="A177" s="17">
        <v>44055</v>
      </c>
      <c r="B177" s="8" t="s">
        <v>5</v>
      </c>
      <c r="C177" t="s">
        <v>131</v>
      </c>
      <c r="D177" s="8" t="str">
        <f t="shared" si="7"/>
        <v>OB5</v>
      </c>
      <c r="E177" s="8" t="str">
        <f t="shared" si="8"/>
        <v>1740</v>
      </c>
      <c r="F177" s="4" t="str">
        <f t="shared" si="9"/>
        <v>OB5_1740</v>
      </c>
      <c r="G177">
        <v>300</v>
      </c>
      <c r="H177">
        <v>490</v>
      </c>
      <c r="I177" s="14">
        <v>1.6333333333333333</v>
      </c>
    </row>
    <row r="178" spans="1:9" x14ac:dyDescent="0.2">
      <c r="A178" s="17">
        <v>44055</v>
      </c>
      <c r="B178" s="8" t="s">
        <v>5</v>
      </c>
      <c r="C178" t="s">
        <v>113</v>
      </c>
      <c r="D178" s="8" t="str">
        <f t="shared" si="7"/>
        <v>OB1</v>
      </c>
      <c r="E178" s="8" t="str">
        <f t="shared" si="8"/>
        <v>1620</v>
      </c>
      <c r="F178" s="4" t="str">
        <f t="shared" si="9"/>
        <v>OB1_1620</v>
      </c>
      <c r="G178">
        <v>300</v>
      </c>
      <c r="H178">
        <v>315</v>
      </c>
      <c r="I178" s="14">
        <v>1.05</v>
      </c>
    </row>
    <row r="179" spans="1:9" x14ac:dyDescent="0.2">
      <c r="A179" s="17">
        <v>44056</v>
      </c>
      <c r="B179" s="8" t="s">
        <v>4</v>
      </c>
      <c r="C179" t="s">
        <v>114</v>
      </c>
      <c r="D179" s="8" t="str">
        <f t="shared" si="7"/>
        <v>OB6</v>
      </c>
      <c r="E179" s="8" t="str">
        <f t="shared" si="8"/>
        <v>1910</v>
      </c>
      <c r="F179" s="4" t="str">
        <f t="shared" si="9"/>
        <v>OB6_1910</v>
      </c>
      <c r="G179">
        <v>600</v>
      </c>
      <c r="H179">
        <v>0</v>
      </c>
      <c r="I179" s="14">
        <v>0</v>
      </c>
    </row>
    <row r="180" spans="1:9" x14ac:dyDescent="0.2">
      <c r="A180" s="17">
        <v>44056</v>
      </c>
      <c r="B180" s="8" t="s">
        <v>4</v>
      </c>
      <c r="C180" t="s">
        <v>132</v>
      </c>
      <c r="D180" s="8" t="str">
        <f t="shared" si="7"/>
        <v>OB2</v>
      </c>
      <c r="E180" s="8" t="str">
        <f t="shared" si="8"/>
        <v>1880</v>
      </c>
      <c r="F180" s="4" t="str">
        <f t="shared" si="9"/>
        <v>OB2_1880</v>
      </c>
      <c r="G180">
        <v>200</v>
      </c>
      <c r="H180">
        <v>585</v>
      </c>
      <c r="I180" s="14">
        <v>2.9249999999999998</v>
      </c>
    </row>
    <row r="181" spans="1:9" x14ac:dyDescent="0.2">
      <c r="A181" s="17">
        <v>44056</v>
      </c>
      <c r="B181" s="8" t="s">
        <v>4</v>
      </c>
      <c r="C181" t="s">
        <v>100</v>
      </c>
      <c r="D181" s="8" t="str">
        <f t="shared" si="7"/>
        <v>OB9</v>
      </c>
      <c r="E181" s="8" t="str">
        <f t="shared" si="8"/>
        <v>1850</v>
      </c>
      <c r="F181" s="4" t="str">
        <f t="shared" si="9"/>
        <v>OB9_1850</v>
      </c>
      <c r="G181">
        <v>400</v>
      </c>
      <c r="H181">
        <v>625</v>
      </c>
      <c r="I181" s="14">
        <v>1.5625</v>
      </c>
    </row>
    <row r="182" spans="1:9" x14ac:dyDescent="0.2">
      <c r="A182" s="17">
        <v>44056</v>
      </c>
      <c r="B182" s="8" t="s">
        <v>4</v>
      </c>
      <c r="C182" t="s">
        <v>129</v>
      </c>
      <c r="D182" s="8" t="str">
        <f t="shared" si="7"/>
        <v>OB5</v>
      </c>
      <c r="E182" s="8" t="str">
        <f t="shared" si="8"/>
        <v>1800</v>
      </c>
      <c r="F182" s="4" t="str">
        <f t="shared" si="9"/>
        <v>OB5_1800</v>
      </c>
      <c r="G182">
        <v>400</v>
      </c>
      <c r="H182">
        <v>355</v>
      </c>
      <c r="I182" s="14">
        <v>0.88749999999999996</v>
      </c>
    </row>
    <row r="183" spans="1:9" x14ac:dyDescent="0.2">
      <c r="A183" s="17">
        <v>44056</v>
      </c>
      <c r="B183" s="8" t="s">
        <v>4</v>
      </c>
      <c r="C183" t="s">
        <v>126</v>
      </c>
      <c r="D183" s="8" t="str">
        <f t="shared" si="7"/>
        <v>OB2</v>
      </c>
      <c r="E183" s="8" t="str">
        <f t="shared" si="8"/>
        <v>1650</v>
      </c>
      <c r="F183" s="4" t="str">
        <f t="shared" si="9"/>
        <v>OB2_1650</v>
      </c>
      <c r="G183">
        <v>3600</v>
      </c>
      <c r="H183">
        <v>2410</v>
      </c>
      <c r="I183" s="14">
        <v>0.6694444444444444</v>
      </c>
    </row>
    <row r="184" spans="1:9" x14ac:dyDescent="0.2">
      <c r="A184" s="17">
        <v>44056</v>
      </c>
      <c r="B184" s="8" t="s">
        <v>4</v>
      </c>
      <c r="C184" t="s">
        <v>118</v>
      </c>
      <c r="D184" s="8" t="str">
        <f t="shared" si="7"/>
        <v>OB1</v>
      </c>
      <c r="E184" s="8" t="str">
        <f t="shared" si="8"/>
        <v>1600</v>
      </c>
      <c r="F184" s="4" t="str">
        <f t="shared" si="9"/>
        <v>OB1_1600</v>
      </c>
      <c r="G184">
        <v>600</v>
      </c>
      <c r="H184">
        <v>960</v>
      </c>
      <c r="I184" s="14">
        <v>1.6</v>
      </c>
    </row>
    <row r="185" spans="1:9" x14ac:dyDescent="0.2">
      <c r="A185" s="17">
        <v>44056</v>
      </c>
      <c r="B185" s="8" t="s">
        <v>4</v>
      </c>
      <c r="C185" t="s">
        <v>133</v>
      </c>
      <c r="D185" s="8" t="str">
        <f t="shared" si="7"/>
        <v>OB2</v>
      </c>
      <c r="E185" s="8" t="str">
        <f t="shared" si="8"/>
        <v>1680</v>
      </c>
      <c r="F185" s="4" t="str">
        <f t="shared" si="9"/>
        <v>OB2_1680</v>
      </c>
      <c r="G185">
        <v>400</v>
      </c>
      <c r="H185">
        <v>425</v>
      </c>
      <c r="I185" s="14">
        <v>1.0625</v>
      </c>
    </row>
    <row r="186" spans="1:9" x14ac:dyDescent="0.2">
      <c r="A186" s="17">
        <v>44056</v>
      </c>
      <c r="B186" s="8" t="s">
        <v>4</v>
      </c>
      <c r="C186" t="s">
        <v>121</v>
      </c>
      <c r="D186" s="8" t="str">
        <f t="shared" si="7"/>
        <v>OB6</v>
      </c>
      <c r="E186" s="8" t="str">
        <f t="shared" si="8"/>
        <v>1580</v>
      </c>
      <c r="F186" s="4" t="str">
        <f t="shared" si="9"/>
        <v>OB6_1580</v>
      </c>
      <c r="G186">
        <v>400</v>
      </c>
      <c r="H186">
        <v>420</v>
      </c>
      <c r="I186" s="14">
        <v>1.05</v>
      </c>
    </row>
    <row r="187" spans="1:9" x14ac:dyDescent="0.2">
      <c r="A187" s="17">
        <v>44056</v>
      </c>
      <c r="B187" s="8" t="s">
        <v>4</v>
      </c>
      <c r="C187" t="s">
        <v>134</v>
      </c>
      <c r="D187" s="8" t="str">
        <f t="shared" si="7"/>
        <v>OB5</v>
      </c>
      <c r="E187" s="8" t="str">
        <f t="shared" si="8"/>
        <v>1650</v>
      </c>
      <c r="F187" s="4" t="str">
        <f t="shared" si="9"/>
        <v>OB5_1650</v>
      </c>
      <c r="G187">
        <v>200</v>
      </c>
      <c r="H187">
        <v>560</v>
      </c>
      <c r="I187" s="14">
        <v>2.8</v>
      </c>
    </row>
    <row r="188" spans="1:9" x14ac:dyDescent="0.2">
      <c r="A188" s="17">
        <v>44056</v>
      </c>
      <c r="B188" s="8" t="s">
        <v>5</v>
      </c>
      <c r="C188" t="s">
        <v>126</v>
      </c>
      <c r="D188" s="8" t="str">
        <f t="shared" si="7"/>
        <v>OB2</v>
      </c>
      <c r="E188" s="8" t="str">
        <f t="shared" si="8"/>
        <v>1650</v>
      </c>
      <c r="F188" s="4" t="str">
        <f t="shared" si="9"/>
        <v>OB2_1650</v>
      </c>
      <c r="G188">
        <v>3000</v>
      </c>
      <c r="H188">
        <v>2720</v>
      </c>
      <c r="I188" s="14">
        <v>0.90666666666666662</v>
      </c>
    </row>
    <row r="189" spans="1:9" x14ac:dyDescent="0.2">
      <c r="A189" s="17">
        <v>44056</v>
      </c>
      <c r="B189" s="8" t="s">
        <v>5</v>
      </c>
      <c r="C189" t="s">
        <v>135</v>
      </c>
      <c r="D189" s="8" t="str">
        <f t="shared" si="7"/>
        <v>OB5</v>
      </c>
      <c r="E189" s="8" t="str">
        <f t="shared" si="8"/>
        <v>1740</v>
      </c>
      <c r="F189" s="4" t="str">
        <f t="shared" si="9"/>
        <v>OB5_1740</v>
      </c>
      <c r="G189">
        <v>300</v>
      </c>
      <c r="H189">
        <v>1280</v>
      </c>
      <c r="I189" s="14">
        <v>4.2666666666666666</v>
      </c>
    </row>
    <row r="190" spans="1:9" x14ac:dyDescent="0.2">
      <c r="A190" s="17">
        <v>44056</v>
      </c>
      <c r="B190" s="8" t="s">
        <v>5</v>
      </c>
      <c r="C190" t="s">
        <v>134</v>
      </c>
      <c r="D190" s="8" t="str">
        <f t="shared" si="7"/>
        <v>OB5</v>
      </c>
      <c r="E190" s="8" t="str">
        <f t="shared" si="8"/>
        <v>1650</v>
      </c>
      <c r="F190" s="4" t="str">
        <f t="shared" si="9"/>
        <v>OB5_1650</v>
      </c>
      <c r="G190">
        <v>200</v>
      </c>
      <c r="H190">
        <v>960</v>
      </c>
      <c r="I190" s="14">
        <v>4.8</v>
      </c>
    </row>
    <row r="191" spans="1:9" x14ac:dyDescent="0.2">
      <c r="A191" s="17">
        <v>44057</v>
      </c>
      <c r="B191" s="8" t="s">
        <v>4</v>
      </c>
      <c r="C191" t="s">
        <v>114</v>
      </c>
      <c r="D191" s="8" t="str">
        <f t="shared" si="7"/>
        <v>OB6</v>
      </c>
      <c r="E191" s="8" t="str">
        <f t="shared" si="8"/>
        <v>1910</v>
      </c>
      <c r="F191" s="4" t="str">
        <f t="shared" si="9"/>
        <v>OB6_1910</v>
      </c>
      <c r="G191">
        <v>3000</v>
      </c>
      <c r="H191">
        <v>3205</v>
      </c>
      <c r="I191" s="14">
        <v>1.0683333333333334</v>
      </c>
    </row>
    <row r="192" spans="1:9" x14ac:dyDescent="0.2">
      <c r="A192" s="17">
        <v>44057</v>
      </c>
      <c r="B192" s="8" t="s">
        <v>4</v>
      </c>
      <c r="C192" t="s">
        <v>118</v>
      </c>
      <c r="D192" s="8" t="str">
        <f t="shared" si="7"/>
        <v>OB1</v>
      </c>
      <c r="E192" s="8" t="str">
        <f t="shared" si="8"/>
        <v>1600</v>
      </c>
      <c r="F192" s="4" t="str">
        <f t="shared" si="9"/>
        <v>OB1_1600</v>
      </c>
      <c r="G192">
        <v>3500</v>
      </c>
      <c r="H192">
        <v>3080</v>
      </c>
      <c r="I192" s="14">
        <v>0.88</v>
      </c>
    </row>
    <row r="193" spans="1:9" x14ac:dyDescent="0.2">
      <c r="A193" s="17">
        <v>44057</v>
      </c>
      <c r="B193" s="8" t="s">
        <v>4</v>
      </c>
      <c r="C193" t="s">
        <v>76</v>
      </c>
      <c r="D193" s="8" t="str">
        <f t="shared" si="7"/>
        <v>OB1</v>
      </c>
      <c r="E193" s="8" t="str">
        <f t="shared" si="8"/>
        <v>1620</v>
      </c>
      <c r="F193" s="4" t="str">
        <f t="shared" si="9"/>
        <v>OB1_1620</v>
      </c>
      <c r="G193">
        <v>1200</v>
      </c>
      <c r="H193">
        <v>1600</v>
      </c>
      <c r="I193" s="14">
        <v>1.3333333333333333</v>
      </c>
    </row>
    <row r="194" spans="1:9" x14ac:dyDescent="0.2">
      <c r="A194" s="17">
        <v>44057</v>
      </c>
      <c r="B194" s="8" t="s">
        <v>4</v>
      </c>
      <c r="C194" t="s">
        <v>133</v>
      </c>
      <c r="D194" s="8" t="str">
        <f t="shared" si="7"/>
        <v>OB2</v>
      </c>
      <c r="E194" s="8" t="str">
        <f t="shared" si="8"/>
        <v>1680</v>
      </c>
      <c r="F194" s="4" t="str">
        <f t="shared" si="9"/>
        <v>OB2_1680</v>
      </c>
      <c r="G194">
        <v>1500</v>
      </c>
      <c r="H194">
        <v>2740</v>
      </c>
      <c r="I194" s="14">
        <v>1.8266666666666667</v>
      </c>
    </row>
    <row r="195" spans="1:9" x14ac:dyDescent="0.2">
      <c r="A195" s="17">
        <v>44057</v>
      </c>
      <c r="B195" s="8" t="s">
        <v>5</v>
      </c>
      <c r="C195" t="s">
        <v>114</v>
      </c>
      <c r="D195" s="8" t="str">
        <f t="shared" si="7"/>
        <v>OB6</v>
      </c>
      <c r="E195" s="8" t="str">
        <f t="shared" si="8"/>
        <v>1910</v>
      </c>
      <c r="F195" s="4" t="str">
        <f t="shared" si="9"/>
        <v>OB6_1910</v>
      </c>
      <c r="G195">
        <v>2600</v>
      </c>
      <c r="H195">
        <v>2200</v>
      </c>
      <c r="I195" s="14">
        <v>0.84615384615384615</v>
      </c>
    </row>
    <row r="196" spans="1:9" x14ac:dyDescent="0.2">
      <c r="A196" s="17">
        <v>44057</v>
      </c>
      <c r="B196" s="8" t="s">
        <v>5</v>
      </c>
      <c r="C196" t="s">
        <v>136</v>
      </c>
      <c r="D196" s="8" t="str">
        <f t="shared" si="7"/>
        <v>OB6</v>
      </c>
      <c r="E196" s="8" t="str">
        <f>MID(C196,FIND("-",C196)+10,4)</f>
        <v>1910</v>
      </c>
      <c r="F196" s="4" t="str">
        <f t="shared" si="9"/>
        <v>OB6_1910</v>
      </c>
      <c r="G196">
        <v>1500</v>
      </c>
      <c r="H196">
        <v>0</v>
      </c>
      <c r="I196" s="14">
        <v>0</v>
      </c>
    </row>
    <row r="197" spans="1:9" x14ac:dyDescent="0.2">
      <c r="A197" s="17">
        <v>44057</v>
      </c>
      <c r="B197" s="8" t="s">
        <v>5</v>
      </c>
      <c r="C197" t="s">
        <v>126</v>
      </c>
      <c r="D197" s="8" t="str">
        <f t="shared" ref="D197:D260" si="10">MID(C197,FIND("OB",C197),3)</f>
        <v>OB2</v>
      </c>
      <c r="E197" s="8" t="str">
        <f t="shared" ref="E197:E260" si="11">MID(C197,FIND("_",C197)+1,4)</f>
        <v>1650</v>
      </c>
      <c r="F197" s="4" t="str">
        <f t="shared" ref="F197:F260" si="12">_xlfn.CONCAT(D197,"_",E197)</f>
        <v>OB2_1650</v>
      </c>
      <c r="G197">
        <v>2600</v>
      </c>
      <c r="H197">
        <v>2195</v>
      </c>
      <c r="I197" s="14">
        <v>0.84423076923076923</v>
      </c>
    </row>
    <row r="198" spans="1:9" x14ac:dyDescent="0.2">
      <c r="A198" s="17">
        <v>44057</v>
      </c>
      <c r="B198" s="8" t="s">
        <v>5</v>
      </c>
      <c r="C198" t="s">
        <v>118</v>
      </c>
      <c r="D198" s="8" t="str">
        <f t="shared" si="10"/>
        <v>OB1</v>
      </c>
      <c r="E198" s="8" t="str">
        <f t="shared" si="11"/>
        <v>1600</v>
      </c>
      <c r="F198" s="4" t="str">
        <f t="shared" si="12"/>
        <v>OB1_1600</v>
      </c>
      <c r="G198">
        <v>2500</v>
      </c>
      <c r="H198">
        <v>2760</v>
      </c>
      <c r="I198" s="14">
        <v>1.1040000000000001</v>
      </c>
    </row>
    <row r="199" spans="1:9" x14ac:dyDescent="0.2">
      <c r="A199" s="17">
        <v>44057</v>
      </c>
      <c r="B199" s="8" t="s">
        <v>5</v>
      </c>
      <c r="C199" t="s">
        <v>137</v>
      </c>
      <c r="D199" s="8" t="str">
        <f t="shared" si="10"/>
        <v>OB5</v>
      </c>
      <c r="E199" s="8" t="str">
        <f t="shared" si="11"/>
        <v>1640</v>
      </c>
      <c r="F199" s="4" t="str">
        <f t="shared" si="12"/>
        <v>OB5_1640</v>
      </c>
      <c r="G199">
        <v>600</v>
      </c>
      <c r="H199">
        <v>1055</v>
      </c>
      <c r="I199" s="14">
        <v>1.7583333333333333</v>
      </c>
    </row>
    <row r="200" spans="1:9" x14ac:dyDescent="0.2">
      <c r="A200" s="17">
        <v>44058</v>
      </c>
      <c r="B200" s="8" t="s">
        <v>4</v>
      </c>
      <c r="C200" t="s">
        <v>114</v>
      </c>
      <c r="D200" s="8" t="str">
        <f t="shared" si="10"/>
        <v>OB6</v>
      </c>
      <c r="E200" s="8" t="str">
        <f t="shared" si="11"/>
        <v>1910</v>
      </c>
      <c r="F200" s="4" t="str">
        <f t="shared" si="12"/>
        <v>OB6_1910</v>
      </c>
      <c r="G200">
        <v>2500</v>
      </c>
      <c r="H200">
        <v>2720</v>
      </c>
      <c r="I200" s="14">
        <v>1.0880000000000001</v>
      </c>
    </row>
    <row r="201" spans="1:9" x14ac:dyDescent="0.2">
      <c r="A201" s="17">
        <v>44058</v>
      </c>
      <c r="B201" s="8" t="s">
        <v>4</v>
      </c>
      <c r="C201" t="s">
        <v>126</v>
      </c>
      <c r="D201" s="8" t="str">
        <f t="shared" si="10"/>
        <v>OB2</v>
      </c>
      <c r="E201" s="8" t="str">
        <f t="shared" si="11"/>
        <v>1650</v>
      </c>
      <c r="F201" s="4" t="str">
        <f t="shared" si="12"/>
        <v>OB2_1650</v>
      </c>
      <c r="G201">
        <v>2500</v>
      </c>
      <c r="H201">
        <v>2795</v>
      </c>
      <c r="I201" s="14">
        <v>1.1180000000000001</v>
      </c>
    </row>
    <row r="202" spans="1:9" x14ac:dyDescent="0.2">
      <c r="A202" s="17">
        <v>44058</v>
      </c>
      <c r="B202" s="8" t="s">
        <v>4</v>
      </c>
      <c r="C202" t="s">
        <v>118</v>
      </c>
      <c r="D202" s="8" t="str">
        <f t="shared" si="10"/>
        <v>OB1</v>
      </c>
      <c r="E202" s="8" t="str">
        <f t="shared" si="11"/>
        <v>1600</v>
      </c>
      <c r="F202" s="4" t="str">
        <f t="shared" si="12"/>
        <v>OB1_1600</v>
      </c>
      <c r="G202">
        <v>2600</v>
      </c>
      <c r="H202">
        <v>2160</v>
      </c>
      <c r="I202" s="14">
        <v>0.83076923076923082</v>
      </c>
    </row>
    <row r="203" spans="1:9" x14ac:dyDescent="0.2">
      <c r="A203" s="17">
        <v>44058</v>
      </c>
      <c r="B203" s="8" t="s">
        <v>4</v>
      </c>
      <c r="C203" t="s">
        <v>76</v>
      </c>
      <c r="D203" s="8" t="str">
        <f t="shared" si="10"/>
        <v>OB1</v>
      </c>
      <c r="E203" s="8" t="str">
        <f t="shared" si="11"/>
        <v>1620</v>
      </c>
      <c r="F203" s="4" t="str">
        <f t="shared" si="12"/>
        <v>OB1_1620</v>
      </c>
      <c r="G203">
        <v>2000</v>
      </c>
      <c r="H203">
        <v>2000</v>
      </c>
      <c r="I203" s="14">
        <v>1</v>
      </c>
    </row>
    <row r="204" spans="1:9" x14ac:dyDescent="0.2">
      <c r="A204" s="17">
        <v>44058</v>
      </c>
      <c r="B204" s="8" t="s">
        <v>4</v>
      </c>
      <c r="C204" t="s">
        <v>138</v>
      </c>
      <c r="D204" s="8" t="str">
        <f t="shared" si="10"/>
        <v>OB1</v>
      </c>
      <c r="E204" s="8" t="str">
        <f t="shared" si="11"/>
        <v>1550</v>
      </c>
      <c r="F204" s="4" t="str">
        <f t="shared" si="12"/>
        <v>OB1_1550</v>
      </c>
      <c r="G204">
        <v>400</v>
      </c>
      <c r="H204">
        <v>480</v>
      </c>
      <c r="I204" s="14">
        <v>1.2</v>
      </c>
    </row>
    <row r="205" spans="1:9" x14ac:dyDescent="0.2">
      <c r="A205" s="17">
        <v>44058</v>
      </c>
      <c r="B205" s="8" t="s">
        <v>5</v>
      </c>
      <c r="C205" t="s">
        <v>114</v>
      </c>
      <c r="D205" s="8" t="str">
        <f t="shared" si="10"/>
        <v>OB6</v>
      </c>
      <c r="E205" s="8" t="str">
        <f t="shared" si="11"/>
        <v>1910</v>
      </c>
      <c r="F205" s="4" t="str">
        <f t="shared" si="12"/>
        <v>OB6_1910</v>
      </c>
      <c r="G205">
        <v>2000</v>
      </c>
      <c r="H205">
        <v>2160</v>
      </c>
      <c r="I205" s="14">
        <v>1.08</v>
      </c>
    </row>
    <row r="206" spans="1:9" x14ac:dyDescent="0.2">
      <c r="A206" s="17">
        <v>44058</v>
      </c>
      <c r="B206" s="8" t="s">
        <v>5</v>
      </c>
      <c r="C206" t="s">
        <v>136</v>
      </c>
      <c r="D206" s="8" t="str">
        <f t="shared" si="10"/>
        <v>OB6</v>
      </c>
      <c r="E206" s="8" t="str">
        <f>MID(C206,FIND("-",C206)+10,4)</f>
        <v>1910</v>
      </c>
      <c r="F206" s="4" t="str">
        <f t="shared" si="12"/>
        <v>OB6_1910</v>
      </c>
      <c r="G206">
        <v>2000</v>
      </c>
      <c r="H206">
        <v>560</v>
      </c>
      <c r="I206" s="14">
        <v>0.28000000000000003</v>
      </c>
    </row>
    <row r="207" spans="1:9" x14ac:dyDescent="0.2">
      <c r="A207" s="17">
        <v>44058</v>
      </c>
      <c r="B207" s="8" t="s">
        <v>5</v>
      </c>
      <c r="C207" t="s">
        <v>126</v>
      </c>
      <c r="D207" s="8" t="str">
        <f t="shared" si="10"/>
        <v>OB2</v>
      </c>
      <c r="E207" s="8" t="str">
        <f t="shared" si="11"/>
        <v>1650</v>
      </c>
      <c r="F207" s="4" t="str">
        <f t="shared" si="12"/>
        <v>OB2_1650</v>
      </c>
      <c r="G207">
        <v>2300</v>
      </c>
      <c r="H207">
        <v>2040</v>
      </c>
      <c r="I207" s="14">
        <v>0.88695652173913042</v>
      </c>
    </row>
    <row r="208" spans="1:9" x14ac:dyDescent="0.2">
      <c r="A208" s="17">
        <v>44058</v>
      </c>
      <c r="B208" s="8" t="s">
        <v>5</v>
      </c>
      <c r="C208" t="s">
        <v>76</v>
      </c>
      <c r="D208" s="8" t="str">
        <f t="shared" si="10"/>
        <v>OB1</v>
      </c>
      <c r="E208" s="8" t="str">
        <f t="shared" si="11"/>
        <v>1620</v>
      </c>
      <c r="F208" s="4" t="str">
        <f t="shared" si="12"/>
        <v>OB1_1620</v>
      </c>
      <c r="G208">
        <v>2500</v>
      </c>
      <c r="H208">
        <v>2600</v>
      </c>
      <c r="I208" s="14">
        <v>1.04</v>
      </c>
    </row>
    <row r="209" spans="1:9" x14ac:dyDescent="0.2">
      <c r="A209" s="17">
        <v>44058</v>
      </c>
      <c r="B209" s="8" t="s">
        <v>5</v>
      </c>
      <c r="C209" t="s">
        <v>137</v>
      </c>
      <c r="D209" s="8" t="str">
        <f t="shared" si="10"/>
        <v>OB5</v>
      </c>
      <c r="E209" s="8" t="str">
        <f t="shared" si="11"/>
        <v>1640</v>
      </c>
      <c r="F209" s="4" t="str">
        <f t="shared" si="12"/>
        <v>OB5_1640</v>
      </c>
      <c r="G209">
        <v>1200</v>
      </c>
      <c r="H209">
        <v>1360</v>
      </c>
      <c r="I209" s="14">
        <v>1.1333333333333333</v>
      </c>
    </row>
    <row r="210" spans="1:9" x14ac:dyDescent="0.2">
      <c r="A210" s="17">
        <v>44059</v>
      </c>
      <c r="B210" s="8" t="s">
        <v>4</v>
      </c>
      <c r="C210" t="s">
        <v>114</v>
      </c>
      <c r="D210" s="8" t="str">
        <f t="shared" si="10"/>
        <v>OB6</v>
      </c>
      <c r="E210" s="8" t="str">
        <f t="shared" si="11"/>
        <v>1910</v>
      </c>
      <c r="F210" s="4" t="str">
        <f t="shared" si="12"/>
        <v>OB6_1910</v>
      </c>
      <c r="G210">
        <v>2000</v>
      </c>
      <c r="H210">
        <v>2360</v>
      </c>
      <c r="I210" s="14">
        <v>1.18</v>
      </c>
    </row>
    <row r="211" spans="1:9" x14ac:dyDescent="0.2">
      <c r="A211" s="17">
        <v>44059</v>
      </c>
      <c r="B211" s="8" t="s">
        <v>4</v>
      </c>
      <c r="C211" t="s">
        <v>126</v>
      </c>
      <c r="D211" s="8" t="str">
        <f t="shared" si="10"/>
        <v>OB2</v>
      </c>
      <c r="E211" s="8" t="str">
        <f t="shared" si="11"/>
        <v>1650</v>
      </c>
      <c r="F211" s="4" t="str">
        <f t="shared" si="12"/>
        <v>OB2_1650</v>
      </c>
      <c r="G211">
        <v>2500</v>
      </c>
      <c r="H211">
        <v>3230</v>
      </c>
      <c r="I211" s="14">
        <v>1.292</v>
      </c>
    </row>
    <row r="212" spans="1:9" x14ac:dyDescent="0.2">
      <c r="A212" s="17">
        <v>44059</v>
      </c>
      <c r="B212" s="8" t="s">
        <v>4</v>
      </c>
      <c r="C212" t="s">
        <v>118</v>
      </c>
      <c r="D212" s="8" t="str">
        <f t="shared" si="10"/>
        <v>OB1</v>
      </c>
      <c r="E212" s="8" t="str">
        <f t="shared" si="11"/>
        <v>1600</v>
      </c>
      <c r="F212" s="4" t="str">
        <f t="shared" si="12"/>
        <v>OB1_1600</v>
      </c>
      <c r="G212">
        <v>1500</v>
      </c>
      <c r="H212">
        <v>765</v>
      </c>
      <c r="I212" s="14">
        <v>0.51</v>
      </c>
    </row>
    <row r="213" spans="1:9" x14ac:dyDescent="0.2">
      <c r="A213" s="17">
        <v>44059</v>
      </c>
      <c r="B213" s="8" t="s">
        <v>4</v>
      </c>
      <c r="C213" t="s">
        <v>76</v>
      </c>
      <c r="D213" s="8" t="str">
        <f t="shared" si="10"/>
        <v>OB1</v>
      </c>
      <c r="E213" s="8" t="str">
        <f t="shared" si="11"/>
        <v>1620</v>
      </c>
      <c r="F213" s="4" t="str">
        <f t="shared" si="12"/>
        <v>OB1_1620</v>
      </c>
      <c r="G213">
        <v>3000</v>
      </c>
      <c r="H213">
        <v>2960</v>
      </c>
      <c r="I213" s="14">
        <v>0.98666666666666669</v>
      </c>
    </row>
    <row r="214" spans="1:9" x14ac:dyDescent="0.2">
      <c r="A214" s="17">
        <v>44059</v>
      </c>
      <c r="B214" s="8" t="s">
        <v>4</v>
      </c>
      <c r="C214" t="s">
        <v>133</v>
      </c>
      <c r="D214" s="8" t="str">
        <f t="shared" si="10"/>
        <v>OB2</v>
      </c>
      <c r="E214" s="8" t="str">
        <f t="shared" si="11"/>
        <v>1680</v>
      </c>
      <c r="F214" s="4" t="str">
        <f t="shared" si="12"/>
        <v>OB2_1680</v>
      </c>
      <c r="G214">
        <v>500</v>
      </c>
      <c r="H214">
        <v>665</v>
      </c>
      <c r="I214" s="14">
        <v>1.33</v>
      </c>
    </row>
    <row r="215" spans="1:9" x14ac:dyDescent="0.2">
      <c r="A215" s="17">
        <v>44059</v>
      </c>
      <c r="B215" s="8" t="s">
        <v>5</v>
      </c>
      <c r="C215" t="s">
        <v>114</v>
      </c>
      <c r="D215" s="8" t="str">
        <f t="shared" si="10"/>
        <v>OB6</v>
      </c>
      <c r="E215" s="8" t="str">
        <f t="shared" si="11"/>
        <v>1910</v>
      </c>
      <c r="F215" s="4" t="str">
        <f t="shared" si="12"/>
        <v>OB6_1910</v>
      </c>
      <c r="G215">
        <v>2300</v>
      </c>
      <c r="H215">
        <v>2000</v>
      </c>
      <c r="I215" s="14">
        <v>0.86956521739130432</v>
      </c>
    </row>
    <row r="216" spans="1:9" x14ac:dyDescent="0.2">
      <c r="A216" s="17">
        <v>44059</v>
      </c>
      <c r="B216" s="8" t="s">
        <v>5</v>
      </c>
      <c r="C216" t="s">
        <v>136</v>
      </c>
      <c r="D216" s="8" t="str">
        <f t="shared" si="10"/>
        <v>OB6</v>
      </c>
      <c r="E216" s="8" t="str">
        <f>MID(C216,FIND("-",C216)+10,4)</f>
        <v>1910</v>
      </c>
      <c r="F216" s="4" t="str">
        <f t="shared" si="12"/>
        <v>OB6_1910</v>
      </c>
      <c r="G216">
        <v>1500</v>
      </c>
      <c r="H216">
        <v>815</v>
      </c>
      <c r="I216" s="14">
        <v>0.54333333333333333</v>
      </c>
    </row>
    <row r="217" spans="1:9" x14ac:dyDescent="0.2">
      <c r="A217" s="17">
        <v>44059</v>
      </c>
      <c r="B217" s="8" t="s">
        <v>5</v>
      </c>
      <c r="C217" t="s">
        <v>126</v>
      </c>
      <c r="D217" s="8" t="str">
        <f t="shared" si="10"/>
        <v>OB2</v>
      </c>
      <c r="E217" s="8" t="str">
        <f t="shared" si="11"/>
        <v>1650</v>
      </c>
      <c r="F217" s="4" t="str">
        <f t="shared" si="12"/>
        <v>OB2_1650</v>
      </c>
      <c r="G217">
        <v>1000</v>
      </c>
      <c r="H217">
        <v>880</v>
      </c>
      <c r="I217" s="14">
        <v>0.88</v>
      </c>
    </row>
    <row r="218" spans="1:9" x14ac:dyDescent="0.2">
      <c r="A218" s="17">
        <v>44059</v>
      </c>
      <c r="B218" s="8" t="s">
        <v>5</v>
      </c>
      <c r="C218" t="s">
        <v>118</v>
      </c>
      <c r="D218" s="8" t="str">
        <f t="shared" si="10"/>
        <v>OB1</v>
      </c>
      <c r="E218" s="8" t="str">
        <f t="shared" si="11"/>
        <v>1600</v>
      </c>
      <c r="F218" s="4" t="str">
        <f t="shared" si="12"/>
        <v>OB1_1600</v>
      </c>
      <c r="G218">
        <v>2500</v>
      </c>
      <c r="H218">
        <v>2320</v>
      </c>
      <c r="I218" s="14">
        <v>0.92800000000000005</v>
      </c>
    </row>
    <row r="219" spans="1:9" x14ac:dyDescent="0.2">
      <c r="A219" s="17">
        <v>44059</v>
      </c>
      <c r="B219" s="8" t="s">
        <v>5</v>
      </c>
      <c r="C219" t="s">
        <v>76</v>
      </c>
      <c r="D219" s="8" t="str">
        <f t="shared" si="10"/>
        <v>OB1</v>
      </c>
      <c r="E219" s="8" t="str">
        <f t="shared" si="11"/>
        <v>1620</v>
      </c>
      <c r="F219" s="4" t="str">
        <f t="shared" si="12"/>
        <v>OB1_1620</v>
      </c>
      <c r="G219">
        <v>1700</v>
      </c>
      <c r="H219">
        <v>1255</v>
      </c>
      <c r="I219" s="14">
        <v>0.7382352941176471</v>
      </c>
    </row>
    <row r="220" spans="1:9" x14ac:dyDescent="0.2">
      <c r="A220" s="17">
        <v>44059</v>
      </c>
      <c r="B220" s="8" t="s">
        <v>5</v>
      </c>
      <c r="C220" t="s">
        <v>139</v>
      </c>
      <c r="D220" s="8" t="str">
        <f t="shared" si="10"/>
        <v>OB1</v>
      </c>
      <c r="E220" s="8" t="str">
        <f t="shared" si="11"/>
        <v>1620</v>
      </c>
      <c r="F220" s="4" t="str">
        <f t="shared" si="12"/>
        <v>OB1_1620</v>
      </c>
      <c r="G220">
        <v>500</v>
      </c>
      <c r="H220">
        <v>160</v>
      </c>
      <c r="I220" s="14">
        <v>0.32</v>
      </c>
    </row>
    <row r="221" spans="1:9" x14ac:dyDescent="0.2">
      <c r="A221" s="17">
        <v>44060</v>
      </c>
      <c r="B221" s="8" t="s">
        <v>4</v>
      </c>
      <c r="C221" t="s">
        <v>114</v>
      </c>
      <c r="D221" s="8" t="str">
        <f t="shared" si="10"/>
        <v>OB6</v>
      </c>
      <c r="E221" s="8" t="str">
        <f t="shared" si="11"/>
        <v>1910</v>
      </c>
      <c r="F221" s="4" t="str">
        <f t="shared" si="12"/>
        <v>OB6_1910</v>
      </c>
      <c r="G221">
        <v>1300</v>
      </c>
      <c r="H221">
        <v>1890</v>
      </c>
      <c r="I221" s="14">
        <v>1.4538461538461538</v>
      </c>
    </row>
    <row r="222" spans="1:9" x14ac:dyDescent="0.2">
      <c r="A222" s="17">
        <v>44060</v>
      </c>
      <c r="B222" s="8" t="s">
        <v>4</v>
      </c>
      <c r="C222" t="s">
        <v>126</v>
      </c>
      <c r="D222" s="8" t="str">
        <f t="shared" si="10"/>
        <v>OB2</v>
      </c>
      <c r="E222" s="8" t="str">
        <f t="shared" si="11"/>
        <v>1650</v>
      </c>
      <c r="F222" s="4" t="str">
        <f t="shared" si="12"/>
        <v>OB2_1650</v>
      </c>
      <c r="G222">
        <v>3000</v>
      </c>
      <c r="H222">
        <v>3590</v>
      </c>
      <c r="I222" s="14">
        <v>1.1966666666666668</v>
      </c>
    </row>
    <row r="223" spans="1:9" x14ac:dyDescent="0.2">
      <c r="A223" s="17">
        <v>44060</v>
      </c>
      <c r="B223" s="8" t="s">
        <v>4</v>
      </c>
      <c r="C223" t="s">
        <v>118</v>
      </c>
      <c r="D223" s="8" t="str">
        <f t="shared" si="10"/>
        <v>OB1</v>
      </c>
      <c r="E223" s="8" t="str">
        <f t="shared" si="11"/>
        <v>1600</v>
      </c>
      <c r="F223" s="4" t="str">
        <f t="shared" si="12"/>
        <v>OB1_1600</v>
      </c>
      <c r="G223">
        <v>2000</v>
      </c>
      <c r="H223">
        <v>1050</v>
      </c>
      <c r="I223" s="14">
        <v>0.52500000000000002</v>
      </c>
    </row>
    <row r="224" spans="1:9" x14ac:dyDescent="0.2">
      <c r="A224" s="17">
        <v>44060</v>
      </c>
      <c r="B224" s="8" t="s">
        <v>4</v>
      </c>
      <c r="C224" t="s">
        <v>137</v>
      </c>
      <c r="D224" s="8" t="str">
        <f t="shared" si="10"/>
        <v>OB5</v>
      </c>
      <c r="E224" s="8" t="str">
        <f t="shared" si="11"/>
        <v>1640</v>
      </c>
      <c r="F224" s="4" t="str">
        <f t="shared" si="12"/>
        <v>OB5_1640</v>
      </c>
      <c r="G224">
        <v>2500</v>
      </c>
      <c r="H224">
        <v>2600</v>
      </c>
      <c r="I224" s="14">
        <v>1.04</v>
      </c>
    </row>
    <row r="225" spans="1:9" x14ac:dyDescent="0.2">
      <c r="A225" s="17">
        <v>44060</v>
      </c>
      <c r="B225" s="8" t="s">
        <v>4</v>
      </c>
      <c r="C225" t="s">
        <v>140</v>
      </c>
      <c r="D225" s="8" t="str">
        <f t="shared" si="10"/>
        <v>OB6</v>
      </c>
      <c r="E225" s="8" t="str">
        <f>MID(C225,FIND("_",C225)+9,4)</f>
        <v>1580</v>
      </c>
      <c r="F225" s="4" t="str">
        <f t="shared" si="12"/>
        <v>OB6_1580</v>
      </c>
      <c r="G225">
        <v>400</v>
      </c>
      <c r="H225">
        <v>630</v>
      </c>
      <c r="I225" s="14">
        <v>1.575</v>
      </c>
    </row>
    <row r="226" spans="1:9" x14ac:dyDescent="0.2">
      <c r="A226" s="17">
        <v>44060</v>
      </c>
      <c r="B226" s="8" t="s">
        <v>4</v>
      </c>
      <c r="C226" t="s">
        <v>141</v>
      </c>
      <c r="D226" s="8" t="str">
        <f t="shared" si="10"/>
        <v>OB5</v>
      </c>
      <c r="E226" s="8" t="str">
        <f>MID(C226,FIND("_",C226)+10,4)</f>
        <v>1680</v>
      </c>
      <c r="F226" s="4" t="str">
        <f t="shared" si="12"/>
        <v>OB5_1680</v>
      </c>
      <c r="G226">
        <v>300</v>
      </c>
      <c r="H226">
        <v>0</v>
      </c>
      <c r="I226" s="14">
        <v>0</v>
      </c>
    </row>
    <row r="227" spans="1:9" x14ac:dyDescent="0.2">
      <c r="A227" s="17">
        <v>44060</v>
      </c>
      <c r="B227" s="8" t="s">
        <v>5</v>
      </c>
      <c r="C227" t="s">
        <v>114</v>
      </c>
      <c r="D227" s="8" t="str">
        <f t="shared" si="10"/>
        <v>OB6</v>
      </c>
      <c r="E227" s="8" t="str">
        <f t="shared" si="11"/>
        <v>1910</v>
      </c>
      <c r="F227" s="4" t="str">
        <f t="shared" si="12"/>
        <v>OB6_1910</v>
      </c>
      <c r="G227">
        <v>1500</v>
      </c>
      <c r="H227">
        <v>1520</v>
      </c>
      <c r="I227" s="14">
        <v>1.0133333333333334</v>
      </c>
    </row>
    <row r="228" spans="1:9" x14ac:dyDescent="0.2">
      <c r="A228" s="17">
        <v>44060</v>
      </c>
      <c r="B228" s="8" t="s">
        <v>5</v>
      </c>
      <c r="C228" t="s">
        <v>136</v>
      </c>
      <c r="D228" s="8" t="str">
        <f t="shared" si="10"/>
        <v>OB6</v>
      </c>
      <c r="E228" s="8" t="str">
        <f>MID(C228,FIND("-",C228)+10,4)</f>
        <v>1910</v>
      </c>
      <c r="F228" s="4" t="str">
        <f t="shared" si="12"/>
        <v>OB6_1910</v>
      </c>
      <c r="G228">
        <v>1500</v>
      </c>
      <c r="H228">
        <v>400</v>
      </c>
      <c r="I228" s="14">
        <v>0.26666666666666666</v>
      </c>
    </row>
    <row r="229" spans="1:9" x14ac:dyDescent="0.2">
      <c r="A229" s="17">
        <v>44060</v>
      </c>
      <c r="B229" s="8" t="s">
        <v>5</v>
      </c>
      <c r="C229" t="s">
        <v>126</v>
      </c>
      <c r="D229" s="8" t="str">
        <f t="shared" si="10"/>
        <v>OB2</v>
      </c>
      <c r="E229" s="8" t="str">
        <f t="shared" si="11"/>
        <v>1650</v>
      </c>
      <c r="F229" s="4" t="str">
        <f t="shared" si="12"/>
        <v>OB2_1650</v>
      </c>
      <c r="G229">
        <v>2600</v>
      </c>
      <c r="H229">
        <v>2130</v>
      </c>
      <c r="I229" s="14">
        <v>0.81923076923076921</v>
      </c>
    </row>
    <row r="230" spans="1:9" x14ac:dyDescent="0.2">
      <c r="A230" s="17">
        <v>44060</v>
      </c>
      <c r="B230" s="8" t="s">
        <v>5</v>
      </c>
      <c r="C230" t="s">
        <v>118</v>
      </c>
      <c r="D230" s="8" t="str">
        <f t="shared" si="10"/>
        <v>OB1</v>
      </c>
      <c r="E230" s="8" t="str">
        <f t="shared" si="11"/>
        <v>1600</v>
      </c>
      <c r="F230" s="4" t="str">
        <f t="shared" si="12"/>
        <v>OB1_1600</v>
      </c>
      <c r="G230">
        <v>1500</v>
      </c>
      <c r="H230">
        <v>1080</v>
      </c>
      <c r="I230" s="14">
        <v>0.72</v>
      </c>
    </row>
    <row r="231" spans="1:9" x14ac:dyDescent="0.2">
      <c r="A231" s="17">
        <v>44060</v>
      </c>
      <c r="B231" s="8" t="s">
        <v>5</v>
      </c>
      <c r="C231" t="s">
        <v>76</v>
      </c>
      <c r="D231" s="8" t="str">
        <f t="shared" si="10"/>
        <v>OB1</v>
      </c>
      <c r="E231" s="8" t="str">
        <f t="shared" si="11"/>
        <v>1620</v>
      </c>
      <c r="F231" s="4" t="str">
        <f t="shared" si="12"/>
        <v>OB1_1620</v>
      </c>
      <c r="G231">
        <v>2500</v>
      </c>
      <c r="H231">
        <v>1960</v>
      </c>
      <c r="I231" s="14">
        <v>0.78400000000000003</v>
      </c>
    </row>
    <row r="232" spans="1:9" x14ac:dyDescent="0.2">
      <c r="A232" s="17">
        <v>44060</v>
      </c>
      <c r="B232" s="8" t="s">
        <v>5</v>
      </c>
      <c r="C232" t="s">
        <v>142</v>
      </c>
      <c r="D232" s="8" t="str">
        <f t="shared" si="10"/>
        <v>OB6</v>
      </c>
      <c r="E232" s="8" t="str">
        <f>MID(C232,FIND("-",C232)+1,4)</f>
        <v>1680</v>
      </c>
      <c r="F232" s="4" t="str">
        <f t="shared" si="12"/>
        <v>OB6_1680</v>
      </c>
      <c r="G232">
        <v>400</v>
      </c>
      <c r="H232">
        <v>905</v>
      </c>
      <c r="I232" s="14">
        <v>2.2625000000000002</v>
      </c>
    </row>
    <row r="233" spans="1:9" x14ac:dyDescent="0.2">
      <c r="A233" s="17">
        <v>44061</v>
      </c>
      <c r="B233" s="8" t="s">
        <v>4</v>
      </c>
      <c r="C233" t="s">
        <v>114</v>
      </c>
      <c r="D233" s="8" t="str">
        <f t="shared" si="10"/>
        <v>OB6</v>
      </c>
      <c r="E233" s="8" t="str">
        <f t="shared" si="11"/>
        <v>1910</v>
      </c>
      <c r="F233" s="4" t="str">
        <f t="shared" si="12"/>
        <v>OB6_1910</v>
      </c>
      <c r="G233">
        <v>1000</v>
      </c>
      <c r="H233">
        <v>1190</v>
      </c>
      <c r="I233" s="14">
        <v>1.19</v>
      </c>
    </row>
    <row r="234" spans="1:9" x14ac:dyDescent="0.2">
      <c r="A234" s="17">
        <v>44061</v>
      </c>
      <c r="B234" s="8" t="s">
        <v>4</v>
      </c>
      <c r="C234" t="s">
        <v>126</v>
      </c>
      <c r="D234" s="8" t="str">
        <f t="shared" si="10"/>
        <v>OB2</v>
      </c>
      <c r="E234" s="8" t="str">
        <f t="shared" si="11"/>
        <v>1650</v>
      </c>
      <c r="F234" s="4" t="str">
        <f t="shared" si="12"/>
        <v>OB2_1650</v>
      </c>
      <c r="G234">
        <v>2500</v>
      </c>
      <c r="H234">
        <v>2540</v>
      </c>
      <c r="I234" s="14">
        <v>1.016</v>
      </c>
    </row>
    <row r="235" spans="1:9" x14ac:dyDescent="0.2">
      <c r="A235" s="17">
        <v>44061</v>
      </c>
      <c r="B235" s="8" t="s">
        <v>4</v>
      </c>
      <c r="C235" t="s">
        <v>76</v>
      </c>
      <c r="D235" s="8" t="str">
        <f t="shared" si="10"/>
        <v>OB1</v>
      </c>
      <c r="E235" s="8" t="str">
        <f t="shared" si="11"/>
        <v>1620</v>
      </c>
      <c r="F235" s="4" t="str">
        <f t="shared" si="12"/>
        <v>OB1_1620</v>
      </c>
      <c r="G235">
        <v>3000</v>
      </c>
      <c r="H235">
        <v>2875</v>
      </c>
      <c r="I235" s="14">
        <v>0.95833333333333337</v>
      </c>
    </row>
    <row r="236" spans="1:9" x14ac:dyDescent="0.2">
      <c r="A236" s="17">
        <v>44061</v>
      </c>
      <c r="B236" s="8" t="s">
        <v>4</v>
      </c>
      <c r="C236" t="s">
        <v>143</v>
      </c>
      <c r="D236" s="8" t="str">
        <f t="shared" si="10"/>
        <v>OB6</v>
      </c>
      <c r="E236" s="8" t="str">
        <f t="shared" si="11"/>
        <v>1640</v>
      </c>
      <c r="F236" s="4" t="str">
        <f t="shared" si="12"/>
        <v>OB6_1640</v>
      </c>
      <c r="G236">
        <v>2200</v>
      </c>
      <c r="H236">
        <v>2240</v>
      </c>
      <c r="I236" s="14">
        <v>1.0181818181818181</v>
      </c>
    </row>
    <row r="237" spans="1:9" x14ac:dyDescent="0.2">
      <c r="A237" s="17">
        <v>44061</v>
      </c>
      <c r="B237" s="8" t="s">
        <v>4</v>
      </c>
      <c r="C237" t="s">
        <v>144</v>
      </c>
      <c r="D237" s="8" t="str">
        <f t="shared" si="10"/>
        <v>OB1</v>
      </c>
      <c r="E237" s="8" t="str">
        <f>MID(C237,FIND("-",C237)+1,4)</f>
        <v>1550</v>
      </c>
      <c r="F237" s="4" t="str">
        <f t="shared" si="12"/>
        <v>OB1_1550</v>
      </c>
      <c r="G237">
        <v>400</v>
      </c>
      <c r="H237">
        <v>360</v>
      </c>
      <c r="I237" s="14">
        <v>0.9</v>
      </c>
    </row>
    <row r="238" spans="1:9" x14ac:dyDescent="0.2">
      <c r="A238" s="17">
        <v>44061</v>
      </c>
      <c r="B238" s="8" t="s">
        <v>4</v>
      </c>
      <c r="C238" t="s">
        <v>145</v>
      </c>
      <c r="D238" s="8" t="str">
        <f t="shared" si="10"/>
        <v>OB5</v>
      </c>
      <c r="E238" s="8" t="str">
        <f>MID(C238,FIND("-",C238)+1,4)</f>
        <v>1680</v>
      </c>
      <c r="F238" s="4" t="str">
        <f t="shared" si="12"/>
        <v>OB5_1680</v>
      </c>
      <c r="G238">
        <v>400</v>
      </c>
      <c r="H238">
        <v>560</v>
      </c>
      <c r="I238" s="14">
        <v>1.4</v>
      </c>
    </row>
    <row r="239" spans="1:9" x14ac:dyDescent="0.2">
      <c r="A239" s="17">
        <v>44061</v>
      </c>
      <c r="B239" s="8" t="s">
        <v>5</v>
      </c>
      <c r="C239" t="s">
        <v>114</v>
      </c>
      <c r="D239" s="8" t="str">
        <f t="shared" si="10"/>
        <v>OB6</v>
      </c>
      <c r="E239" s="8" t="str">
        <f t="shared" si="11"/>
        <v>1910</v>
      </c>
      <c r="F239" s="4" t="str">
        <f t="shared" si="12"/>
        <v>OB6_1910</v>
      </c>
      <c r="G239">
        <v>300</v>
      </c>
      <c r="H239">
        <v>825</v>
      </c>
      <c r="I239" s="14">
        <v>2.75</v>
      </c>
    </row>
    <row r="240" spans="1:9" x14ac:dyDescent="0.2">
      <c r="A240" s="17">
        <v>44061</v>
      </c>
      <c r="B240" s="8" t="s">
        <v>5</v>
      </c>
      <c r="C240" t="s">
        <v>136</v>
      </c>
      <c r="D240" s="8" t="str">
        <f t="shared" si="10"/>
        <v>OB6</v>
      </c>
      <c r="E240" s="8" t="str">
        <f>MID(C240,FIND("-",C240)+10,4)</f>
        <v>1910</v>
      </c>
      <c r="F240" s="4" t="str">
        <f t="shared" si="12"/>
        <v>OB6_1910</v>
      </c>
      <c r="G240">
        <v>1500</v>
      </c>
      <c r="H240">
        <v>1475</v>
      </c>
      <c r="I240" s="14">
        <v>0.98333333333333328</v>
      </c>
    </row>
    <row r="241" spans="1:9" x14ac:dyDescent="0.2">
      <c r="A241" s="17">
        <v>44061</v>
      </c>
      <c r="B241" s="8" t="s">
        <v>5</v>
      </c>
      <c r="C241" t="s">
        <v>126</v>
      </c>
      <c r="D241" s="8" t="str">
        <f t="shared" si="10"/>
        <v>OB2</v>
      </c>
      <c r="E241" s="8" t="str">
        <f t="shared" si="11"/>
        <v>1650</v>
      </c>
      <c r="F241" s="4" t="str">
        <f t="shared" si="12"/>
        <v>OB2_1650</v>
      </c>
      <c r="G241">
        <v>2500</v>
      </c>
      <c r="H241">
        <v>2885</v>
      </c>
      <c r="I241" s="14">
        <v>1.1539999999999999</v>
      </c>
    </row>
    <row r="242" spans="1:9" x14ac:dyDescent="0.2">
      <c r="A242" s="17">
        <v>44061</v>
      </c>
      <c r="B242" s="8" t="s">
        <v>5</v>
      </c>
      <c r="C242" t="s">
        <v>118</v>
      </c>
      <c r="D242" s="8" t="str">
        <f t="shared" si="10"/>
        <v>OB1</v>
      </c>
      <c r="E242" s="8" t="str">
        <f t="shared" si="11"/>
        <v>1600</v>
      </c>
      <c r="F242" s="4" t="str">
        <f t="shared" si="12"/>
        <v>OB1_1600</v>
      </c>
      <c r="G242">
        <v>1500</v>
      </c>
      <c r="H242">
        <v>1680</v>
      </c>
      <c r="I242" s="14">
        <v>1.1200000000000001</v>
      </c>
    </row>
    <row r="243" spans="1:9" x14ac:dyDescent="0.2">
      <c r="A243" s="17">
        <v>44061</v>
      </c>
      <c r="B243" s="8" t="s">
        <v>5</v>
      </c>
      <c r="C243" t="s">
        <v>143</v>
      </c>
      <c r="D243" s="8" t="str">
        <f t="shared" si="10"/>
        <v>OB6</v>
      </c>
      <c r="E243" s="8" t="str">
        <f t="shared" si="11"/>
        <v>1640</v>
      </c>
      <c r="F243" s="4" t="str">
        <f t="shared" si="12"/>
        <v>OB6_1640</v>
      </c>
      <c r="G243">
        <v>500</v>
      </c>
      <c r="H243">
        <v>0</v>
      </c>
      <c r="I243" s="14">
        <v>0</v>
      </c>
    </row>
    <row r="244" spans="1:9" x14ac:dyDescent="0.2">
      <c r="A244" s="17">
        <v>44061</v>
      </c>
      <c r="B244" s="8" t="s">
        <v>5</v>
      </c>
      <c r="C244" t="s">
        <v>139</v>
      </c>
      <c r="D244" s="8" t="str">
        <f t="shared" si="10"/>
        <v>OB1</v>
      </c>
      <c r="E244" s="8" t="str">
        <f t="shared" si="11"/>
        <v>1620</v>
      </c>
      <c r="F244" s="4" t="str">
        <f t="shared" si="12"/>
        <v>OB1_1620</v>
      </c>
      <c r="G244">
        <v>3000</v>
      </c>
      <c r="H244">
        <v>3280</v>
      </c>
      <c r="I244" s="14">
        <v>1.0933333333333333</v>
      </c>
    </row>
    <row r="245" spans="1:9" x14ac:dyDescent="0.2">
      <c r="A245" s="17">
        <v>44061</v>
      </c>
      <c r="B245" s="8" t="s">
        <v>5</v>
      </c>
      <c r="C245" t="s">
        <v>146</v>
      </c>
      <c r="D245" s="8" t="str">
        <f t="shared" si="10"/>
        <v>OB1</v>
      </c>
      <c r="E245" s="8" t="str">
        <f>MID(C245,FIND("-",C245)+1,4)</f>
        <v>1580</v>
      </c>
      <c r="F245" s="4" t="str">
        <f t="shared" si="12"/>
        <v>OB1_1580</v>
      </c>
      <c r="G245">
        <v>300</v>
      </c>
      <c r="H245">
        <v>175</v>
      </c>
      <c r="I245" s="14">
        <v>0.58333333333333337</v>
      </c>
    </row>
    <row r="246" spans="1:9" x14ac:dyDescent="0.2">
      <c r="A246" s="17">
        <v>44061</v>
      </c>
      <c r="B246" s="8" t="s">
        <v>5</v>
      </c>
      <c r="C246" t="s">
        <v>144</v>
      </c>
      <c r="D246" s="8" t="str">
        <f t="shared" si="10"/>
        <v>OB1</v>
      </c>
      <c r="E246" s="8" t="str">
        <f>MID(C246,FIND("-",C246)+1,4)</f>
        <v>1550</v>
      </c>
      <c r="F246" s="4" t="str">
        <f t="shared" si="12"/>
        <v>OB1_1550</v>
      </c>
      <c r="G246">
        <v>400</v>
      </c>
      <c r="H246">
        <v>595</v>
      </c>
      <c r="I246" s="14">
        <v>1.4875</v>
      </c>
    </row>
    <row r="247" spans="1:9" x14ac:dyDescent="0.2">
      <c r="A247" s="17">
        <v>44062</v>
      </c>
      <c r="B247" s="8" t="s">
        <v>4</v>
      </c>
      <c r="C247" t="s">
        <v>126</v>
      </c>
      <c r="D247" s="8" t="str">
        <f t="shared" si="10"/>
        <v>OB2</v>
      </c>
      <c r="E247" s="8" t="str">
        <f t="shared" si="11"/>
        <v>1650</v>
      </c>
      <c r="F247" s="4" t="str">
        <f t="shared" si="12"/>
        <v>OB2_1650</v>
      </c>
      <c r="G247">
        <v>2000</v>
      </c>
      <c r="H247">
        <v>2400</v>
      </c>
      <c r="I247" s="14">
        <v>1.2</v>
      </c>
    </row>
    <row r="248" spans="1:9" x14ac:dyDescent="0.2">
      <c r="A248" s="17">
        <v>44062</v>
      </c>
      <c r="B248" s="8" t="s">
        <v>4</v>
      </c>
      <c r="C248" t="s">
        <v>118</v>
      </c>
      <c r="D248" s="8" t="str">
        <f t="shared" si="10"/>
        <v>OB1</v>
      </c>
      <c r="E248" s="8" t="str">
        <f t="shared" si="11"/>
        <v>1600</v>
      </c>
      <c r="F248" s="4" t="str">
        <f t="shared" si="12"/>
        <v>OB1_1600</v>
      </c>
      <c r="G248">
        <v>1600</v>
      </c>
      <c r="H248">
        <v>1575</v>
      </c>
      <c r="I248" s="14">
        <v>0.984375</v>
      </c>
    </row>
    <row r="249" spans="1:9" x14ac:dyDescent="0.2">
      <c r="A249" s="17">
        <v>44062</v>
      </c>
      <c r="B249" s="8" t="s">
        <v>4</v>
      </c>
      <c r="C249" t="s">
        <v>143</v>
      </c>
      <c r="D249" s="8" t="str">
        <f t="shared" si="10"/>
        <v>OB6</v>
      </c>
      <c r="E249" s="8" t="str">
        <f t="shared" si="11"/>
        <v>1640</v>
      </c>
      <c r="F249" s="4" t="str">
        <f t="shared" si="12"/>
        <v>OB6_1640</v>
      </c>
      <c r="G249">
        <v>1000</v>
      </c>
      <c r="H249">
        <v>1080</v>
      </c>
      <c r="I249" s="14">
        <v>1.08</v>
      </c>
    </row>
    <row r="250" spans="1:9" x14ac:dyDescent="0.2">
      <c r="A250" s="17">
        <v>44062</v>
      </c>
      <c r="B250" s="8" t="s">
        <v>4</v>
      </c>
      <c r="C250" t="s">
        <v>139</v>
      </c>
      <c r="D250" s="8" t="str">
        <f t="shared" si="10"/>
        <v>OB1</v>
      </c>
      <c r="E250" s="8" t="str">
        <f t="shared" si="11"/>
        <v>1620</v>
      </c>
      <c r="F250" s="4" t="str">
        <f t="shared" si="12"/>
        <v>OB1_1620</v>
      </c>
      <c r="G250">
        <v>3000</v>
      </c>
      <c r="H250">
        <v>2880</v>
      </c>
      <c r="I250" s="14">
        <v>0.96</v>
      </c>
    </row>
    <row r="251" spans="1:9" x14ac:dyDescent="0.2">
      <c r="A251" s="17">
        <v>44062</v>
      </c>
      <c r="B251" s="8" t="s">
        <v>4</v>
      </c>
      <c r="C251" t="s">
        <v>147</v>
      </c>
      <c r="D251" s="8" t="str">
        <f t="shared" si="10"/>
        <v>OB6</v>
      </c>
      <c r="E251" s="8" t="str">
        <f>MID(C251,FIND("-",C251)+1,4)</f>
        <v>1910</v>
      </c>
      <c r="F251" s="4" t="str">
        <f t="shared" si="12"/>
        <v>OB6_1910</v>
      </c>
      <c r="G251">
        <v>400</v>
      </c>
      <c r="H251">
        <v>700</v>
      </c>
      <c r="I251" s="14">
        <v>1.75</v>
      </c>
    </row>
    <row r="252" spans="1:9" x14ac:dyDescent="0.2">
      <c r="A252" s="17">
        <v>44062</v>
      </c>
      <c r="B252" s="8" t="s">
        <v>4</v>
      </c>
      <c r="C252" t="s">
        <v>148</v>
      </c>
      <c r="D252" s="8" t="str">
        <f t="shared" si="10"/>
        <v>OB5</v>
      </c>
      <c r="E252" s="8" t="str">
        <f>MID(C252,FIND("-",C252)+1,4)</f>
        <v>1640</v>
      </c>
      <c r="F252" s="4" t="str">
        <f t="shared" si="12"/>
        <v>OB5_1640</v>
      </c>
      <c r="G252">
        <v>500</v>
      </c>
      <c r="H252">
        <v>560</v>
      </c>
      <c r="I252" s="14">
        <v>1.1200000000000001</v>
      </c>
    </row>
    <row r="253" spans="1:9" x14ac:dyDescent="0.2">
      <c r="A253" s="17">
        <v>44062</v>
      </c>
      <c r="B253" s="8" t="s">
        <v>4</v>
      </c>
      <c r="C253" t="s">
        <v>149</v>
      </c>
      <c r="D253" s="8" t="str">
        <f t="shared" si="10"/>
        <v>OB5</v>
      </c>
      <c r="E253" s="8" t="str">
        <f t="shared" si="11"/>
        <v>1680</v>
      </c>
      <c r="F253" s="4" t="str">
        <f t="shared" si="12"/>
        <v>OB5_1680</v>
      </c>
      <c r="G253">
        <v>400</v>
      </c>
      <c r="H253">
        <v>350</v>
      </c>
      <c r="I253" s="14">
        <v>0.875</v>
      </c>
    </row>
    <row r="254" spans="1:9" x14ac:dyDescent="0.2">
      <c r="A254" s="17">
        <v>44062</v>
      </c>
      <c r="B254" s="8" t="s">
        <v>4</v>
      </c>
      <c r="C254" t="s">
        <v>150</v>
      </c>
      <c r="D254" s="8" t="str">
        <f t="shared" si="10"/>
        <v>OB6</v>
      </c>
      <c r="E254" s="8" t="str">
        <f>MID(C254,FIND("_",C254)+5,4)</f>
        <v>1680</v>
      </c>
      <c r="F254" s="4" t="str">
        <f t="shared" si="12"/>
        <v>OB6_1680</v>
      </c>
      <c r="G254">
        <v>400</v>
      </c>
      <c r="H254">
        <v>350</v>
      </c>
      <c r="I254" s="14">
        <v>0.875</v>
      </c>
    </row>
    <row r="255" spans="1:9" x14ac:dyDescent="0.2">
      <c r="A255" s="17">
        <v>44062</v>
      </c>
      <c r="B255" s="8" t="s">
        <v>5</v>
      </c>
      <c r="C255" t="s">
        <v>151</v>
      </c>
      <c r="D255" s="8" t="str">
        <f t="shared" si="10"/>
        <v>OB2</v>
      </c>
      <c r="E255" s="8" t="str">
        <f>MID(C255,FIND("_",C255)+6,4)</f>
        <v>1800</v>
      </c>
      <c r="F255" s="4" t="str">
        <f t="shared" si="12"/>
        <v>OB2_1800</v>
      </c>
      <c r="G255">
        <v>400</v>
      </c>
      <c r="H255">
        <v>200</v>
      </c>
      <c r="I255" s="14">
        <v>0.5</v>
      </c>
    </row>
    <row r="256" spans="1:9" x14ac:dyDescent="0.2">
      <c r="A256" s="17">
        <v>44062</v>
      </c>
      <c r="B256" s="8" t="s">
        <v>5</v>
      </c>
      <c r="C256" t="s">
        <v>152</v>
      </c>
      <c r="D256" s="8" t="str">
        <f t="shared" si="10"/>
        <v>OB5</v>
      </c>
      <c r="E256" s="8" t="str">
        <f t="shared" si="11"/>
        <v>1710</v>
      </c>
      <c r="F256" s="4" t="str">
        <f t="shared" si="12"/>
        <v>OB5_1710</v>
      </c>
      <c r="G256">
        <v>1700</v>
      </c>
      <c r="H256">
        <v>1920</v>
      </c>
      <c r="I256" s="14">
        <v>1.1294117647058823</v>
      </c>
    </row>
    <row r="257" spans="1:9" x14ac:dyDescent="0.2">
      <c r="A257" s="17">
        <v>44062</v>
      </c>
      <c r="B257" s="8" t="s">
        <v>5</v>
      </c>
      <c r="C257" t="s">
        <v>126</v>
      </c>
      <c r="D257" s="8" t="str">
        <f t="shared" si="10"/>
        <v>OB2</v>
      </c>
      <c r="E257" s="8" t="str">
        <f t="shared" si="11"/>
        <v>1650</v>
      </c>
      <c r="F257" s="4" t="str">
        <f t="shared" si="12"/>
        <v>OB2_1650</v>
      </c>
      <c r="G257">
        <v>2500</v>
      </c>
      <c r="H257">
        <v>2240</v>
      </c>
      <c r="I257" s="14">
        <v>0.89600000000000002</v>
      </c>
    </row>
    <row r="258" spans="1:9" x14ac:dyDescent="0.2">
      <c r="A258" s="17">
        <v>44062</v>
      </c>
      <c r="B258" s="8" t="s">
        <v>5</v>
      </c>
      <c r="C258" t="s">
        <v>118</v>
      </c>
      <c r="D258" s="8" t="str">
        <f t="shared" si="10"/>
        <v>OB1</v>
      </c>
      <c r="E258" s="8" t="str">
        <f t="shared" si="11"/>
        <v>1600</v>
      </c>
      <c r="F258" s="4" t="str">
        <f t="shared" si="12"/>
        <v>OB1_1600</v>
      </c>
      <c r="G258">
        <v>1000</v>
      </c>
      <c r="H258">
        <v>920</v>
      </c>
      <c r="I258" s="14">
        <v>0.92</v>
      </c>
    </row>
    <row r="259" spans="1:9" x14ac:dyDescent="0.2">
      <c r="A259" s="17">
        <v>44062</v>
      </c>
      <c r="B259" s="8" t="s">
        <v>5</v>
      </c>
      <c r="C259" t="s">
        <v>143</v>
      </c>
      <c r="D259" s="8" t="str">
        <f t="shared" si="10"/>
        <v>OB6</v>
      </c>
      <c r="E259" s="8" t="str">
        <f t="shared" si="11"/>
        <v>1640</v>
      </c>
      <c r="F259" s="4" t="str">
        <f t="shared" si="12"/>
        <v>OB6_1640</v>
      </c>
      <c r="G259">
        <v>1000</v>
      </c>
      <c r="H259">
        <v>0</v>
      </c>
      <c r="I259" s="14">
        <v>0</v>
      </c>
    </row>
    <row r="260" spans="1:9" x14ac:dyDescent="0.2">
      <c r="A260" s="17">
        <v>44062</v>
      </c>
      <c r="B260" s="8" t="s">
        <v>5</v>
      </c>
      <c r="C260" t="s">
        <v>139</v>
      </c>
      <c r="D260" s="8" t="str">
        <f t="shared" si="10"/>
        <v>OB1</v>
      </c>
      <c r="E260" s="8" t="str">
        <f t="shared" si="11"/>
        <v>1620</v>
      </c>
      <c r="F260" s="4" t="str">
        <f t="shared" si="12"/>
        <v>OB1_1620</v>
      </c>
      <c r="G260">
        <v>3000</v>
      </c>
      <c r="H260">
        <v>3200</v>
      </c>
      <c r="I260" s="14">
        <v>1.0666666666666667</v>
      </c>
    </row>
    <row r="261" spans="1:9" x14ac:dyDescent="0.2">
      <c r="A261" s="17">
        <v>44062</v>
      </c>
      <c r="B261" s="8" t="s">
        <v>5</v>
      </c>
      <c r="C261" t="s">
        <v>153</v>
      </c>
      <c r="D261" s="8" t="str">
        <f t="shared" ref="D261:D324" si="13">MID(C261,FIND("OB",C261),3)</f>
        <v>OB6</v>
      </c>
      <c r="E261" s="8" t="str">
        <f>MID(C261,FIND("_",C261)+5,4)</f>
        <v>1580</v>
      </c>
      <c r="F261" s="4" t="str">
        <f t="shared" ref="F261:F324" si="14">_xlfn.CONCAT(D261,"_",E261)</f>
        <v>OB6_1580</v>
      </c>
      <c r="G261">
        <v>400</v>
      </c>
      <c r="H261">
        <v>0</v>
      </c>
      <c r="I261" s="14">
        <v>0</v>
      </c>
    </row>
    <row r="262" spans="1:9" x14ac:dyDescent="0.2">
      <c r="A262" s="17">
        <v>44063</v>
      </c>
      <c r="B262" s="8" t="s">
        <v>4</v>
      </c>
      <c r="C262" t="s">
        <v>154</v>
      </c>
      <c r="D262" s="8" t="str">
        <f t="shared" si="13"/>
        <v>OB2</v>
      </c>
      <c r="E262" s="8" t="str">
        <f t="shared" ref="E262:E323" si="15">MID(C262,FIND("_",C262)+1,4)</f>
        <v>1770</v>
      </c>
      <c r="F262" s="4" t="str">
        <f t="shared" si="14"/>
        <v>OB2_1770</v>
      </c>
      <c r="G262">
        <v>1500</v>
      </c>
      <c r="H262">
        <v>1480</v>
      </c>
      <c r="I262" s="14">
        <v>0.98666666666666669</v>
      </c>
    </row>
    <row r="263" spans="1:9" x14ac:dyDescent="0.2">
      <c r="A263" s="17">
        <v>44063</v>
      </c>
      <c r="B263" s="8" t="s">
        <v>4</v>
      </c>
      <c r="C263" t="s">
        <v>152</v>
      </c>
      <c r="D263" s="8" t="str">
        <f t="shared" si="13"/>
        <v>OB5</v>
      </c>
      <c r="E263" s="8" t="str">
        <f t="shared" si="15"/>
        <v>1710</v>
      </c>
      <c r="F263" s="4" t="str">
        <f t="shared" si="14"/>
        <v>OB5_1710</v>
      </c>
      <c r="G263">
        <v>3000</v>
      </c>
      <c r="H263">
        <v>3000</v>
      </c>
      <c r="I263" s="14">
        <v>1</v>
      </c>
    </row>
    <row r="264" spans="1:9" x14ac:dyDescent="0.2">
      <c r="A264" s="17">
        <v>44063</v>
      </c>
      <c r="B264" s="8" t="s">
        <v>4</v>
      </c>
      <c r="C264" t="s">
        <v>126</v>
      </c>
      <c r="D264" s="8" t="str">
        <f t="shared" si="13"/>
        <v>OB2</v>
      </c>
      <c r="E264" s="8" t="str">
        <f t="shared" si="15"/>
        <v>1650</v>
      </c>
      <c r="F264" s="4" t="str">
        <f t="shared" si="14"/>
        <v>OB2_1650</v>
      </c>
      <c r="G264">
        <v>2000</v>
      </c>
      <c r="H264">
        <v>2240</v>
      </c>
      <c r="I264" s="14">
        <v>1.1200000000000001</v>
      </c>
    </row>
    <row r="265" spans="1:9" x14ac:dyDescent="0.2">
      <c r="A265" s="17">
        <v>44063</v>
      </c>
      <c r="B265" s="8" t="s">
        <v>4</v>
      </c>
      <c r="C265" t="s">
        <v>143</v>
      </c>
      <c r="D265" s="8" t="str">
        <f t="shared" si="13"/>
        <v>OB6</v>
      </c>
      <c r="E265" s="8" t="str">
        <f t="shared" si="15"/>
        <v>1640</v>
      </c>
      <c r="F265" s="4" t="str">
        <f t="shared" si="14"/>
        <v>OB6_1640</v>
      </c>
      <c r="G265">
        <v>1000</v>
      </c>
      <c r="H265">
        <v>1120</v>
      </c>
      <c r="I265" s="14">
        <v>1.1200000000000001</v>
      </c>
    </row>
    <row r="266" spans="1:9" x14ac:dyDescent="0.2">
      <c r="A266" s="17">
        <v>44063</v>
      </c>
      <c r="B266" s="8" t="s">
        <v>4</v>
      </c>
      <c r="C266" t="s">
        <v>139</v>
      </c>
      <c r="D266" s="8" t="str">
        <f t="shared" si="13"/>
        <v>OB1</v>
      </c>
      <c r="E266" s="8" t="str">
        <f t="shared" si="15"/>
        <v>1620</v>
      </c>
      <c r="F266" s="4" t="str">
        <f t="shared" si="14"/>
        <v>OB1_1620</v>
      </c>
      <c r="G266">
        <v>2000</v>
      </c>
      <c r="H266">
        <v>2200</v>
      </c>
      <c r="I266" s="14">
        <v>1.1000000000000001</v>
      </c>
    </row>
    <row r="267" spans="1:9" x14ac:dyDescent="0.2">
      <c r="A267" s="17">
        <v>44063</v>
      </c>
      <c r="B267" s="8" t="s">
        <v>5</v>
      </c>
      <c r="C267" t="s">
        <v>155</v>
      </c>
      <c r="D267" s="8" t="str">
        <f t="shared" si="13"/>
        <v>OB6</v>
      </c>
      <c r="E267" s="8" t="str">
        <f>MID(C267,FIND("-",C267)+5,4)</f>
        <v>1910</v>
      </c>
      <c r="F267" s="4" t="str">
        <f t="shared" si="14"/>
        <v>OB6_1910</v>
      </c>
      <c r="G267">
        <v>1500</v>
      </c>
      <c r="H267">
        <v>1150</v>
      </c>
      <c r="I267" s="14">
        <v>0.76666666666666672</v>
      </c>
    </row>
    <row r="268" spans="1:9" x14ac:dyDescent="0.2">
      <c r="A268" s="17">
        <v>44063</v>
      </c>
      <c r="B268" s="8" t="s">
        <v>5</v>
      </c>
      <c r="C268" t="s">
        <v>156</v>
      </c>
      <c r="D268" s="8" t="str">
        <f t="shared" si="13"/>
        <v>OB2</v>
      </c>
      <c r="E268" s="8" t="str">
        <f t="shared" si="15"/>
        <v>1790</v>
      </c>
      <c r="F268" s="4" t="str">
        <f t="shared" si="14"/>
        <v>OB2_1790</v>
      </c>
      <c r="G268">
        <v>1500</v>
      </c>
      <c r="H268">
        <v>1160</v>
      </c>
      <c r="I268" s="14">
        <v>0.77333333333333332</v>
      </c>
    </row>
    <row r="269" spans="1:9" x14ac:dyDescent="0.2">
      <c r="A269" s="17">
        <v>44063</v>
      </c>
      <c r="B269" s="8" t="s">
        <v>5</v>
      </c>
      <c r="C269" t="s">
        <v>157</v>
      </c>
      <c r="D269" s="8" t="str">
        <f t="shared" si="13"/>
        <v>OB6</v>
      </c>
      <c r="E269" s="8" t="str">
        <f t="shared" si="15"/>
        <v>1940</v>
      </c>
      <c r="F269" s="4" t="str">
        <f t="shared" si="14"/>
        <v>OB6_1940</v>
      </c>
      <c r="G269">
        <v>500</v>
      </c>
      <c r="H269">
        <v>80</v>
      </c>
      <c r="I269" s="14">
        <v>0.16</v>
      </c>
    </row>
    <row r="270" spans="1:9" x14ac:dyDescent="0.2">
      <c r="A270" s="17">
        <v>44063</v>
      </c>
      <c r="B270" s="8" t="s">
        <v>5</v>
      </c>
      <c r="C270" t="s">
        <v>158</v>
      </c>
      <c r="D270" s="8" t="str">
        <f t="shared" si="13"/>
        <v>OB5</v>
      </c>
      <c r="E270" s="8" t="str">
        <f t="shared" si="15"/>
        <v>1710</v>
      </c>
      <c r="F270" s="4" t="str">
        <f t="shared" si="14"/>
        <v>OB5_1710</v>
      </c>
      <c r="G270">
        <v>2000</v>
      </c>
      <c r="H270">
        <v>2200</v>
      </c>
      <c r="I270" s="14">
        <v>1.1000000000000001</v>
      </c>
    </row>
    <row r="271" spans="1:9" x14ac:dyDescent="0.2">
      <c r="A271" s="17">
        <v>44063</v>
      </c>
      <c r="B271" s="8" t="s">
        <v>5</v>
      </c>
      <c r="C271" t="s">
        <v>126</v>
      </c>
      <c r="D271" s="8" t="str">
        <f t="shared" si="13"/>
        <v>OB2</v>
      </c>
      <c r="E271" s="8" t="str">
        <f t="shared" si="15"/>
        <v>1650</v>
      </c>
      <c r="F271" s="4" t="str">
        <f t="shared" si="14"/>
        <v>OB2_1650</v>
      </c>
      <c r="G271">
        <v>1000</v>
      </c>
      <c r="H271">
        <v>1480</v>
      </c>
      <c r="I271" s="14">
        <v>1.48</v>
      </c>
    </row>
    <row r="272" spans="1:9" x14ac:dyDescent="0.2">
      <c r="A272" s="17">
        <v>44063</v>
      </c>
      <c r="B272" s="8" t="s">
        <v>5</v>
      </c>
      <c r="C272" t="s">
        <v>76</v>
      </c>
      <c r="D272" s="8" t="str">
        <f t="shared" si="13"/>
        <v>OB1</v>
      </c>
      <c r="E272" s="8" t="str">
        <f t="shared" si="15"/>
        <v>1620</v>
      </c>
      <c r="F272" s="4" t="str">
        <f t="shared" si="14"/>
        <v>OB1_1620</v>
      </c>
      <c r="G272">
        <v>1000</v>
      </c>
      <c r="H272">
        <v>470</v>
      </c>
      <c r="I272" s="14">
        <v>0.47</v>
      </c>
    </row>
    <row r="273" spans="1:9" x14ac:dyDescent="0.2">
      <c r="A273" s="17">
        <v>44063</v>
      </c>
      <c r="B273" s="8" t="s">
        <v>5</v>
      </c>
      <c r="C273" t="s">
        <v>143</v>
      </c>
      <c r="D273" s="8" t="str">
        <f t="shared" si="13"/>
        <v>OB6</v>
      </c>
      <c r="E273" s="8" t="str">
        <f t="shared" si="15"/>
        <v>1640</v>
      </c>
      <c r="F273" s="4" t="str">
        <f t="shared" si="14"/>
        <v>OB6_1640</v>
      </c>
      <c r="G273">
        <v>1000</v>
      </c>
      <c r="H273">
        <v>0</v>
      </c>
      <c r="I273" s="14">
        <v>0</v>
      </c>
    </row>
    <row r="274" spans="1:9" x14ac:dyDescent="0.2">
      <c r="A274" s="17">
        <v>44063</v>
      </c>
      <c r="B274" s="8" t="s">
        <v>5</v>
      </c>
      <c r="C274" t="s">
        <v>139</v>
      </c>
      <c r="D274" s="8" t="str">
        <f t="shared" si="13"/>
        <v>OB1</v>
      </c>
      <c r="E274" s="8" t="str">
        <f t="shared" si="15"/>
        <v>1620</v>
      </c>
      <c r="F274" s="4" t="str">
        <f t="shared" si="14"/>
        <v>OB1_1620</v>
      </c>
      <c r="G274">
        <v>1000</v>
      </c>
      <c r="H274">
        <v>1810</v>
      </c>
      <c r="I274" s="14">
        <v>1.81</v>
      </c>
    </row>
    <row r="275" spans="1:9" x14ac:dyDescent="0.2">
      <c r="A275" s="17">
        <v>44063</v>
      </c>
      <c r="B275" s="8" t="s">
        <v>5</v>
      </c>
      <c r="C275" t="s">
        <v>159</v>
      </c>
      <c r="D275" s="8" t="str">
        <f t="shared" si="13"/>
        <v>OB5</v>
      </c>
      <c r="E275" s="8" t="str">
        <f t="shared" si="15"/>
        <v>1640</v>
      </c>
      <c r="F275" s="4" t="str">
        <f t="shared" si="14"/>
        <v>OB5_1640</v>
      </c>
      <c r="G275">
        <v>300</v>
      </c>
      <c r="H275">
        <v>0</v>
      </c>
      <c r="I275" s="14">
        <v>0</v>
      </c>
    </row>
    <row r="276" spans="1:9" x14ac:dyDescent="0.2">
      <c r="A276" s="17">
        <v>44064</v>
      </c>
      <c r="B276" s="8" t="s">
        <v>4</v>
      </c>
      <c r="C276" t="s">
        <v>160</v>
      </c>
      <c r="D276" s="8" t="str">
        <f t="shared" si="13"/>
        <v>OB2</v>
      </c>
      <c r="E276" s="8" t="str">
        <f t="shared" si="15"/>
        <v>1790</v>
      </c>
      <c r="F276" s="4" t="str">
        <f t="shared" si="14"/>
        <v>OB2_1790</v>
      </c>
      <c r="G276">
        <v>1500</v>
      </c>
      <c r="H276">
        <v>1600</v>
      </c>
      <c r="I276" s="14">
        <v>1.0666666666666667</v>
      </c>
    </row>
    <row r="277" spans="1:9" x14ac:dyDescent="0.2">
      <c r="A277" s="17">
        <v>44064</v>
      </c>
      <c r="B277" s="8" t="s">
        <v>4</v>
      </c>
      <c r="C277" t="s">
        <v>157</v>
      </c>
      <c r="D277" s="8" t="str">
        <f t="shared" si="13"/>
        <v>OB6</v>
      </c>
      <c r="E277" s="8" t="str">
        <f t="shared" si="15"/>
        <v>1940</v>
      </c>
      <c r="F277" s="4" t="str">
        <f t="shared" si="14"/>
        <v>OB6_1940</v>
      </c>
      <c r="G277">
        <v>500</v>
      </c>
      <c r="H277">
        <v>0</v>
      </c>
      <c r="I277" s="14">
        <v>0</v>
      </c>
    </row>
    <row r="278" spans="1:9" x14ac:dyDescent="0.2">
      <c r="A278" s="17">
        <v>44064</v>
      </c>
      <c r="B278" s="8" t="s">
        <v>4</v>
      </c>
      <c r="C278" t="s">
        <v>161</v>
      </c>
      <c r="D278" s="8" t="str">
        <f t="shared" si="13"/>
        <v>OB6</v>
      </c>
      <c r="E278" s="8" t="str">
        <f t="shared" si="15"/>
        <v>1910</v>
      </c>
      <c r="F278" s="4" t="str">
        <f t="shared" si="14"/>
        <v>OB6_1910</v>
      </c>
      <c r="G278">
        <v>400</v>
      </c>
      <c r="H278">
        <v>700</v>
      </c>
      <c r="I278" s="14">
        <v>1.75</v>
      </c>
    </row>
    <row r="279" spans="1:9" x14ac:dyDescent="0.2">
      <c r="A279" s="17">
        <v>44064</v>
      </c>
      <c r="B279" s="8" t="s">
        <v>4</v>
      </c>
      <c r="C279" t="s">
        <v>162</v>
      </c>
      <c r="D279" s="8" t="str">
        <f t="shared" si="13"/>
        <v>OB2</v>
      </c>
      <c r="E279" s="8" t="str">
        <f t="shared" si="15"/>
        <v>1800</v>
      </c>
      <c r="F279" s="4" t="str">
        <f t="shared" si="14"/>
        <v>OB2_1800</v>
      </c>
      <c r="G279">
        <v>400</v>
      </c>
      <c r="H279">
        <v>520</v>
      </c>
      <c r="I279" s="14">
        <v>1.3</v>
      </c>
    </row>
    <row r="280" spans="1:9" x14ac:dyDescent="0.2">
      <c r="A280" s="17">
        <v>44064</v>
      </c>
      <c r="B280" s="8" t="s">
        <v>4</v>
      </c>
      <c r="C280" t="s">
        <v>90</v>
      </c>
      <c r="D280" s="8" t="str">
        <f t="shared" si="13"/>
        <v>OB9</v>
      </c>
      <c r="E280" s="8" t="str">
        <f t="shared" si="15"/>
        <v>1850</v>
      </c>
      <c r="F280" s="4" t="str">
        <f t="shared" si="14"/>
        <v>OB9_1850</v>
      </c>
      <c r="G280">
        <v>500</v>
      </c>
      <c r="H280">
        <v>525</v>
      </c>
      <c r="I280" s="14">
        <v>1.05</v>
      </c>
    </row>
    <row r="281" spans="1:9" x14ac:dyDescent="0.2">
      <c r="A281" s="17">
        <v>44064</v>
      </c>
      <c r="B281" s="8" t="s">
        <v>4</v>
      </c>
      <c r="C281" t="s">
        <v>158</v>
      </c>
      <c r="D281" s="8" t="str">
        <f t="shared" si="13"/>
        <v>OB5</v>
      </c>
      <c r="E281" s="8" t="str">
        <f t="shared" si="15"/>
        <v>1710</v>
      </c>
      <c r="F281" s="4" t="str">
        <f t="shared" si="14"/>
        <v>OB5_1710</v>
      </c>
      <c r="G281">
        <v>2500</v>
      </c>
      <c r="H281">
        <v>2800</v>
      </c>
      <c r="I281" s="14">
        <v>1.1200000000000001</v>
      </c>
    </row>
    <row r="282" spans="1:9" x14ac:dyDescent="0.2">
      <c r="A282" s="17">
        <v>44064</v>
      </c>
      <c r="B282" s="8" t="s">
        <v>4</v>
      </c>
      <c r="C282" t="s">
        <v>76</v>
      </c>
      <c r="D282" s="8" t="str">
        <f t="shared" si="13"/>
        <v>OB1</v>
      </c>
      <c r="E282" s="8" t="str">
        <f t="shared" si="15"/>
        <v>1620</v>
      </c>
      <c r="F282" s="4" t="str">
        <f t="shared" si="14"/>
        <v>OB1_1620</v>
      </c>
      <c r="G282">
        <v>2000</v>
      </c>
      <c r="H282">
        <v>2240</v>
      </c>
      <c r="I282" s="14">
        <v>1.1200000000000001</v>
      </c>
    </row>
    <row r="283" spans="1:9" x14ac:dyDescent="0.2">
      <c r="A283" s="17">
        <v>44064</v>
      </c>
      <c r="B283" s="8" t="s">
        <v>4</v>
      </c>
      <c r="C283" t="s">
        <v>143</v>
      </c>
      <c r="D283" s="8" t="str">
        <f t="shared" si="13"/>
        <v>OB6</v>
      </c>
      <c r="E283" s="8" t="str">
        <f t="shared" si="15"/>
        <v>1640</v>
      </c>
      <c r="F283" s="4" t="str">
        <f t="shared" si="14"/>
        <v>OB6_1640</v>
      </c>
      <c r="G283">
        <v>1100</v>
      </c>
      <c r="H283">
        <v>1200</v>
      </c>
      <c r="I283" s="14">
        <v>1.0909090909090908</v>
      </c>
    </row>
    <row r="284" spans="1:9" x14ac:dyDescent="0.2">
      <c r="A284" s="17">
        <v>44064</v>
      </c>
      <c r="B284" s="8" t="s">
        <v>4</v>
      </c>
      <c r="C284" t="s">
        <v>163</v>
      </c>
      <c r="D284" s="8" t="str">
        <f t="shared" si="13"/>
        <v>OB1</v>
      </c>
      <c r="E284" s="8" t="str">
        <f>MID(C284,FIND("_",C284)+5,4)</f>
        <v>1620</v>
      </c>
      <c r="F284" s="4" t="str">
        <f t="shared" si="14"/>
        <v>OB1_1620</v>
      </c>
      <c r="G284">
        <v>300</v>
      </c>
      <c r="H284">
        <v>0</v>
      </c>
      <c r="I284" s="14">
        <v>0</v>
      </c>
    </row>
    <row r="285" spans="1:9" x14ac:dyDescent="0.2">
      <c r="A285" s="17">
        <v>44064</v>
      </c>
      <c r="B285" s="8" t="s">
        <v>5</v>
      </c>
      <c r="C285" t="s">
        <v>155</v>
      </c>
      <c r="D285" s="8" t="str">
        <f t="shared" si="13"/>
        <v>OB6</v>
      </c>
      <c r="E285" s="8" t="str">
        <f>MID(C285,FIND("-",C285)+5,4)</f>
        <v>1910</v>
      </c>
      <c r="F285" s="4" t="str">
        <f t="shared" si="14"/>
        <v>OB6_1910</v>
      </c>
      <c r="G285">
        <v>2200</v>
      </c>
      <c r="H285">
        <v>1800</v>
      </c>
      <c r="I285" s="14">
        <v>0.81818181818181823</v>
      </c>
    </row>
    <row r="286" spans="1:9" x14ac:dyDescent="0.2">
      <c r="A286" s="17">
        <v>44064</v>
      </c>
      <c r="B286" s="8" t="s">
        <v>5</v>
      </c>
      <c r="C286" t="s">
        <v>160</v>
      </c>
      <c r="D286" s="8" t="str">
        <f t="shared" si="13"/>
        <v>OB2</v>
      </c>
      <c r="E286" s="8" t="str">
        <f t="shared" si="15"/>
        <v>1790</v>
      </c>
      <c r="F286" s="4" t="str">
        <f t="shared" si="14"/>
        <v>OB2_1790</v>
      </c>
      <c r="G286">
        <v>2000</v>
      </c>
      <c r="H286">
        <v>2720</v>
      </c>
      <c r="I286" s="14">
        <v>1.36</v>
      </c>
    </row>
    <row r="287" spans="1:9" x14ac:dyDescent="0.2">
      <c r="A287" s="17">
        <v>44064</v>
      </c>
      <c r="B287" s="8" t="s">
        <v>5</v>
      </c>
      <c r="C287" t="s">
        <v>158</v>
      </c>
      <c r="D287" s="8" t="str">
        <f t="shared" si="13"/>
        <v>OB5</v>
      </c>
      <c r="E287" s="8" t="str">
        <f t="shared" si="15"/>
        <v>1710</v>
      </c>
      <c r="F287" s="4" t="str">
        <f t="shared" si="14"/>
        <v>OB5_1710</v>
      </c>
      <c r="G287">
        <v>1100</v>
      </c>
      <c r="H287">
        <v>1080</v>
      </c>
      <c r="I287" s="14">
        <v>0.98181818181818181</v>
      </c>
    </row>
    <row r="288" spans="1:9" x14ac:dyDescent="0.2">
      <c r="A288" s="17">
        <v>44064</v>
      </c>
      <c r="B288" s="8" t="s">
        <v>5</v>
      </c>
      <c r="C288" t="s">
        <v>126</v>
      </c>
      <c r="D288" s="8" t="str">
        <f t="shared" si="13"/>
        <v>OB2</v>
      </c>
      <c r="E288" s="8" t="str">
        <f t="shared" si="15"/>
        <v>1650</v>
      </c>
      <c r="F288" s="4" t="str">
        <f t="shared" si="14"/>
        <v>OB2_1650</v>
      </c>
      <c r="G288">
        <v>500</v>
      </c>
      <c r="H288">
        <v>560</v>
      </c>
      <c r="I288" s="14">
        <v>1.1200000000000001</v>
      </c>
    </row>
    <row r="289" spans="1:9" x14ac:dyDescent="0.2">
      <c r="A289" s="17">
        <v>44064</v>
      </c>
      <c r="B289" s="8" t="s">
        <v>5</v>
      </c>
      <c r="C289" t="s">
        <v>76</v>
      </c>
      <c r="D289" s="8" t="str">
        <f t="shared" si="13"/>
        <v>OB1</v>
      </c>
      <c r="E289" s="8" t="str">
        <f t="shared" si="15"/>
        <v>1620</v>
      </c>
      <c r="F289" s="4" t="str">
        <f t="shared" si="14"/>
        <v>OB1_1620</v>
      </c>
      <c r="G289">
        <v>2000</v>
      </c>
      <c r="H289">
        <v>1680</v>
      </c>
      <c r="I289" s="14">
        <v>0.84</v>
      </c>
    </row>
    <row r="290" spans="1:9" x14ac:dyDescent="0.2">
      <c r="A290" s="17">
        <v>44064</v>
      </c>
      <c r="B290" s="8" t="s">
        <v>5</v>
      </c>
      <c r="C290" t="s">
        <v>143</v>
      </c>
      <c r="D290" s="8" t="str">
        <f t="shared" si="13"/>
        <v>OB6</v>
      </c>
      <c r="E290" s="8" t="str">
        <f t="shared" si="15"/>
        <v>1640</v>
      </c>
      <c r="F290" s="4" t="str">
        <f t="shared" si="14"/>
        <v>OB6_1640</v>
      </c>
      <c r="G290">
        <v>1000</v>
      </c>
      <c r="H290">
        <v>680</v>
      </c>
      <c r="I290" s="14">
        <v>0.68</v>
      </c>
    </row>
    <row r="291" spans="1:9" x14ac:dyDescent="0.2">
      <c r="A291" s="17">
        <v>44064</v>
      </c>
      <c r="B291" s="8" t="s">
        <v>5</v>
      </c>
      <c r="C291" t="s">
        <v>164</v>
      </c>
      <c r="D291" s="8" t="str">
        <f t="shared" si="13"/>
        <v>OB5</v>
      </c>
      <c r="E291" s="8" t="str">
        <f>MID(C291,FIND("_",C291)+5,4)</f>
        <v>1640</v>
      </c>
      <c r="F291" s="4" t="str">
        <f t="shared" si="14"/>
        <v>OB5_1640</v>
      </c>
      <c r="G291">
        <v>300</v>
      </c>
      <c r="H291">
        <v>1000</v>
      </c>
      <c r="I291" s="14">
        <v>3.3333333333333335</v>
      </c>
    </row>
    <row r="292" spans="1:9" x14ac:dyDescent="0.2">
      <c r="A292" s="17">
        <v>44065</v>
      </c>
      <c r="B292" s="8" t="s">
        <v>4</v>
      </c>
      <c r="C292" t="s">
        <v>160</v>
      </c>
      <c r="D292" s="8" t="str">
        <f t="shared" si="13"/>
        <v>OB2</v>
      </c>
      <c r="E292" s="8" t="str">
        <f t="shared" si="15"/>
        <v>1790</v>
      </c>
      <c r="F292" s="4" t="str">
        <f t="shared" si="14"/>
        <v>OB2_1790</v>
      </c>
      <c r="G292">
        <v>1500</v>
      </c>
      <c r="H292">
        <v>1595</v>
      </c>
      <c r="I292" s="14">
        <v>1.0633333333333332</v>
      </c>
    </row>
    <row r="293" spans="1:9" x14ac:dyDescent="0.2">
      <c r="A293" s="17">
        <v>44065</v>
      </c>
      <c r="B293" s="8" t="s">
        <v>4</v>
      </c>
      <c r="C293" t="s">
        <v>165</v>
      </c>
      <c r="D293" s="8" t="str">
        <f t="shared" si="13"/>
        <v>OB2</v>
      </c>
      <c r="E293" s="8" t="str">
        <f t="shared" si="15"/>
        <v>1880</v>
      </c>
      <c r="F293" s="4" t="str">
        <f t="shared" si="14"/>
        <v>OB2_1880</v>
      </c>
      <c r="G293">
        <v>500</v>
      </c>
      <c r="H293">
        <v>660</v>
      </c>
      <c r="I293" s="14">
        <v>1.32</v>
      </c>
    </row>
    <row r="294" spans="1:9" x14ac:dyDescent="0.2">
      <c r="A294" s="17">
        <v>44065</v>
      </c>
      <c r="B294" s="8" t="s">
        <v>4</v>
      </c>
      <c r="C294" t="s">
        <v>166</v>
      </c>
      <c r="D294" s="8" t="str">
        <f t="shared" si="13"/>
        <v>OB6</v>
      </c>
      <c r="E294" s="8" t="str">
        <f t="shared" si="15"/>
        <v>1910</v>
      </c>
      <c r="F294" s="4" t="str">
        <f t="shared" si="14"/>
        <v>OB6_1910</v>
      </c>
      <c r="G294">
        <v>400</v>
      </c>
      <c r="H294">
        <v>935</v>
      </c>
      <c r="I294" s="14">
        <v>2.3374999999999999</v>
      </c>
    </row>
    <row r="295" spans="1:9" x14ac:dyDescent="0.2">
      <c r="A295" s="17">
        <v>44065</v>
      </c>
      <c r="B295" s="8" t="s">
        <v>4</v>
      </c>
      <c r="C295" t="s">
        <v>143</v>
      </c>
      <c r="D295" s="8" t="str">
        <f t="shared" si="13"/>
        <v>OB6</v>
      </c>
      <c r="E295" s="8" t="str">
        <f t="shared" si="15"/>
        <v>1640</v>
      </c>
      <c r="F295" s="4" t="str">
        <f t="shared" si="14"/>
        <v>OB6_1640</v>
      </c>
      <c r="G295">
        <v>1500</v>
      </c>
      <c r="H295">
        <v>1000</v>
      </c>
      <c r="I295" s="14">
        <v>0.66666666666666663</v>
      </c>
    </row>
    <row r="296" spans="1:9" x14ac:dyDescent="0.2">
      <c r="A296" s="17">
        <v>44065</v>
      </c>
      <c r="B296" s="8" t="s">
        <v>4</v>
      </c>
      <c r="C296" t="s">
        <v>139</v>
      </c>
      <c r="D296" s="8" t="str">
        <f t="shared" si="13"/>
        <v>OB1</v>
      </c>
      <c r="E296" s="8" t="str">
        <f t="shared" si="15"/>
        <v>1620</v>
      </c>
      <c r="F296" s="4" t="str">
        <f t="shared" si="14"/>
        <v>OB1_1620</v>
      </c>
      <c r="G296">
        <v>3000</v>
      </c>
      <c r="H296">
        <v>3050</v>
      </c>
      <c r="I296" s="14">
        <v>1.0166666666666666</v>
      </c>
    </row>
    <row r="297" spans="1:9" x14ac:dyDescent="0.2">
      <c r="A297" s="17">
        <v>44065</v>
      </c>
      <c r="B297" s="8" t="s">
        <v>4</v>
      </c>
      <c r="C297" t="s">
        <v>167</v>
      </c>
      <c r="D297" s="8" t="str">
        <f t="shared" si="13"/>
        <v>OB5</v>
      </c>
      <c r="E297" s="8" t="str">
        <f t="shared" si="15"/>
        <v>1650</v>
      </c>
      <c r="F297" s="4" t="str">
        <f t="shared" si="14"/>
        <v>OB5_1650</v>
      </c>
      <c r="G297">
        <v>2000</v>
      </c>
      <c r="H297">
        <v>2360</v>
      </c>
      <c r="I297" s="14">
        <v>1.18</v>
      </c>
    </row>
    <row r="298" spans="1:9" x14ac:dyDescent="0.2">
      <c r="A298" s="17">
        <v>44065</v>
      </c>
      <c r="B298" s="8" t="s">
        <v>4</v>
      </c>
      <c r="C298" t="s">
        <v>168</v>
      </c>
      <c r="D298" s="8" t="str">
        <f t="shared" si="13"/>
        <v>OB6</v>
      </c>
      <c r="E298" s="8" t="str">
        <f t="shared" si="15"/>
        <v>1640</v>
      </c>
      <c r="F298" s="4" t="str">
        <f t="shared" si="14"/>
        <v>OB6_1640</v>
      </c>
      <c r="G298">
        <v>300</v>
      </c>
      <c r="H298">
        <v>0</v>
      </c>
      <c r="I298" s="14">
        <v>0</v>
      </c>
    </row>
    <row r="299" spans="1:9" x14ac:dyDescent="0.2">
      <c r="A299" s="17">
        <v>44065</v>
      </c>
      <c r="B299" s="8" t="s">
        <v>5</v>
      </c>
      <c r="C299" t="s">
        <v>155</v>
      </c>
      <c r="D299" s="8" t="str">
        <f t="shared" si="13"/>
        <v>OB6</v>
      </c>
      <c r="E299" s="8" t="str">
        <f>MID(C299,FIND("-",C299)+5,4)</f>
        <v>1910</v>
      </c>
      <c r="F299" s="4" t="str">
        <f t="shared" si="14"/>
        <v>OB6_1910</v>
      </c>
      <c r="G299">
        <v>1500</v>
      </c>
      <c r="H299">
        <v>1280</v>
      </c>
      <c r="I299" s="14">
        <v>0.85333333333333339</v>
      </c>
    </row>
    <row r="300" spans="1:9" x14ac:dyDescent="0.2">
      <c r="A300" s="17">
        <v>44065</v>
      </c>
      <c r="B300" s="8" t="s">
        <v>5</v>
      </c>
      <c r="C300" t="s">
        <v>160</v>
      </c>
      <c r="D300" s="8" t="str">
        <f t="shared" si="13"/>
        <v>OB2</v>
      </c>
      <c r="E300" s="8" t="str">
        <f t="shared" si="15"/>
        <v>1790</v>
      </c>
      <c r="F300" s="4" t="str">
        <f t="shared" si="14"/>
        <v>OB2_1790</v>
      </c>
      <c r="G300">
        <v>1500</v>
      </c>
      <c r="H300">
        <v>2425</v>
      </c>
      <c r="I300" s="14">
        <v>1.6166666666666667</v>
      </c>
    </row>
    <row r="301" spans="1:9" x14ac:dyDescent="0.2">
      <c r="A301" s="17">
        <v>44065</v>
      </c>
      <c r="B301" s="8" t="s">
        <v>5</v>
      </c>
      <c r="C301" t="s">
        <v>169</v>
      </c>
      <c r="D301" s="8" t="str">
        <f t="shared" si="13"/>
        <v>OB2</v>
      </c>
      <c r="E301" s="8" t="str">
        <f t="shared" si="15"/>
        <v>1880</v>
      </c>
      <c r="F301" s="4" t="str">
        <f t="shared" si="14"/>
        <v>OB2_1880</v>
      </c>
      <c r="G301">
        <v>1500</v>
      </c>
      <c r="H301">
        <v>1280</v>
      </c>
      <c r="I301" s="14">
        <v>0.85333333333333339</v>
      </c>
    </row>
    <row r="302" spans="1:9" x14ac:dyDescent="0.2">
      <c r="A302" s="17">
        <v>44065</v>
      </c>
      <c r="B302" s="8" t="s">
        <v>5</v>
      </c>
      <c r="C302" t="s">
        <v>170</v>
      </c>
      <c r="D302" s="8" t="str">
        <f t="shared" si="13"/>
        <v>OB2</v>
      </c>
      <c r="E302" s="8" t="str">
        <f t="shared" si="15"/>
        <v>1800</v>
      </c>
      <c r="F302" s="4" t="str">
        <f t="shared" si="14"/>
        <v>OB2_1800</v>
      </c>
      <c r="G302">
        <v>400</v>
      </c>
      <c r="H302">
        <v>0</v>
      </c>
      <c r="I302" s="14">
        <v>0</v>
      </c>
    </row>
    <row r="303" spans="1:9" x14ac:dyDescent="0.2">
      <c r="A303" s="17">
        <v>44065</v>
      </c>
      <c r="B303" s="8" t="s">
        <v>5</v>
      </c>
      <c r="C303" t="s">
        <v>143</v>
      </c>
      <c r="D303" s="8" t="str">
        <f t="shared" si="13"/>
        <v>OB6</v>
      </c>
      <c r="E303" s="8" t="str">
        <f t="shared" si="15"/>
        <v>1640</v>
      </c>
      <c r="F303" s="4" t="str">
        <f t="shared" si="14"/>
        <v>OB6_1640</v>
      </c>
      <c r="G303">
        <v>1300</v>
      </c>
      <c r="H303">
        <v>1035</v>
      </c>
      <c r="I303" s="14">
        <v>0.7961538461538461</v>
      </c>
    </row>
    <row r="304" spans="1:9" x14ac:dyDescent="0.2">
      <c r="A304" s="17">
        <v>44065</v>
      </c>
      <c r="B304" s="8" t="s">
        <v>5</v>
      </c>
      <c r="C304" t="s">
        <v>139</v>
      </c>
      <c r="D304" s="8" t="str">
        <f t="shared" si="13"/>
        <v>OB1</v>
      </c>
      <c r="E304" s="8" t="str">
        <f t="shared" si="15"/>
        <v>1620</v>
      </c>
      <c r="F304" s="4" t="str">
        <f t="shared" si="14"/>
        <v>OB1_1620</v>
      </c>
      <c r="G304">
        <v>1500</v>
      </c>
      <c r="H304">
        <v>2475</v>
      </c>
      <c r="I304" s="14">
        <v>1.65</v>
      </c>
    </row>
    <row r="305" spans="1:9" x14ac:dyDescent="0.2">
      <c r="A305" s="17">
        <v>44065</v>
      </c>
      <c r="B305" s="8" t="s">
        <v>5</v>
      </c>
      <c r="C305" t="s">
        <v>167</v>
      </c>
      <c r="D305" s="8" t="str">
        <f t="shared" si="13"/>
        <v>OB5</v>
      </c>
      <c r="E305" s="8" t="str">
        <f t="shared" si="15"/>
        <v>1650</v>
      </c>
      <c r="F305" s="4" t="str">
        <f t="shared" si="14"/>
        <v>OB5_1650</v>
      </c>
      <c r="G305">
        <v>2000</v>
      </c>
      <c r="H305">
        <v>1040</v>
      </c>
      <c r="I305" s="14">
        <v>0.52</v>
      </c>
    </row>
    <row r="306" spans="1:9" x14ac:dyDescent="0.2">
      <c r="A306" s="17">
        <v>44065</v>
      </c>
      <c r="B306" s="8" t="s">
        <v>5</v>
      </c>
      <c r="C306" t="s">
        <v>168</v>
      </c>
      <c r="D306" s="8" t="str">
        <f t="shared" si="13"/>
        <v>OB6</v>
      </c>
      <c r="E306" s="8" t="str">
        <f t="shared" si="15"/>
        <v>1640</v>
      </c>
      <c r="F306" s="4" t="str">
        <f t="shared" si="14"/>
        <v>OB6_1640</v>
      </c>
      <c r="G306">
        <v>300</v>
      </c>
      <c r="H306">
        <v>505</v>
      </c>
      <c r="I306" s="14">
        <v>1.6833333333333333</v>
      </c>
    </row>
    <row r="307" spans="1:9" x14ac:dyDescent="0.2">
      <c r="A307" s="17">
        <v>44066</v>
      </c>
      <c r="B307" s="8" t="s">
        <v>4</v>
      </c>
      <c r="C307" t="s">
        <v>160</v>
      </c>
      <c r="D307" s="8" t="str">
        <f t="shared" si="13"/>
        <v>OB2</v>
      </c>
      <c r="E307" s="8" t="str">
        <f t="shared" si="15"/>
        <v>1790</v>
      </c>
      <c r="F307" s="4" t="str">
        <f t="shared" si="14"/>
        <v>OB2_1790</v>
      </c>
      <c r="G307">
        <v>2500</v>
      </c>
      <c r="H307">
        <v>2815</v>
      </c>
      <c r="I307" s="14">
        <v>1.1259999999999999</v>
      </c>
    </row>
    <row r="308" spans="1:9" x14ac:dyDescent="0.2">
      <c r="A308" s="17">
        <v>44066</v>
      </c>
      <c r="B308" s="8" t="s">
        <v>4</v>
      </c>
      <c r="C308" t="s">
        <v>165</v>
      </c>
      <c r="D308" s="8" t="str">
        <f t="shared" si="13"/>
        <v>OB2</v>
      </c>
      <c r="E308" s="8" t="str">
        <f t="shared" si="15"/>
        <v>1880</v>
      </c>
      <c r="F308" s="4" t="str">
        <f t="shared" si="14"/>
        <v>OB2_1880</v>
      </c>
      <c r="G308">
        <v>1500</v>
      </c>
      <c r="H308">
        <v>1600</v>
      </c>
      <c r="I308" s="14">
        <v>1.0666666666666667</v>
      </c>
    </row>
    <row r="309" spans="1:9" x14ac:dyDescent="0.2">
      <c r="A309" s="17">
        <v>44066</v>
      </c>
      <c r="B309" s="8" t="s">
        <v>4</v>
      </c>
      <c r="C309" t="s">
        <v>169</v>
      </c>
      <c r="D309" s="8" t="str">
        <f t="shared" si="13"/>
        <v>OB2</v>
      </c>
      <c r="E309" s="8" t="str">
        <f t="shared" si="15"/>
        <v>1880</v>
      </c>
      <c r="F309" s="4" t="str">
        <f t="shared" si="14"/>
        <v>OB2_1880</v>
      </c>
      <c r="G309">
        <v>2000</v>
      </c>
      <c r="H309">
        <v>1880</v>
      </c>
      <c r="I309" s="14">
        <v>0.94</v>
      </c>
    </row>
    <row r="310" spans="1:9" x14ac:dyDescent="0.2">
      <c r="A310" s="17">
        <v>44066</v>
      </c>
      <c r="B310" s="8" t="s">
        <v>4</v>
      </c>
      <c r="C310" t="s">
        <v>143</v>
      </c>
      <c r="D310" s="8" t="str">
        <f t="shared" si="13"/>
        <v>OB6</v>
      </c>
      <c r="E310" s="8" t="str">
        <f t="shared" si="15"/>
        <v>1640</v>
      </c>
      <c r="F310" s="4" t="str">
        <f t="shared" si="14"/>
        <v>OB6_1640</v>
      </c>
      <c r="G310">
        <v>1200</v>
      </c>
      <c r="H310">
        <v>910</v>
      </c>
      <c r="I310" s="14">
        <v>0.7583333333333333</v>
      </c>
    </row>
    <row r="311" spans="1:9" x14ac:dyDescent="0.2">
      <c r="A311" s="17">
        <v>44066</v>
      </c>
      <c r="B311" s="8" t="s">
        <v>4</v>
      </c>
      <c r="C311" t="s">
        <v>139</v>
      </c>
      <c r="D311" s="8" t="str">
        <f t="shared" si="13"/>
        <v>OB1</v>
      </c>
      <c r="E311" s="8" t="str">
        <f t="shared" si="15"/>
        <v>1620</v>
      </c>
      <c r="F311" s="4" t="str">
        <f t="shared" si="14"/>
        <v>OB1_1620</v>
      </c>
      <c r="G311">
        <v>2500</v>
      </c>
      <c r="H311">
        <v>2365</v>
      </c>
      <c r="I311" s="14">
        <v>0.94599999999999995</v>
      </c>
    </row>
    <row r="312" spans="1:9" x14ac:dyDescent="0.2">
      <c r="A312" s="17">
        <v>44066</v>
      </c>
      <c r="B312" s="8" t="s">
        <v>4</v>
      </c>
      <c r="C312" t="s">
        <v>171</v>
      </c>
      <c r="D312" s="8" t="str">
        <f t="shared" si="13"/>
        <v>OB6</v>
      </c>
      <c r="E312" s="8" t="str">
        <f t="shared" si="15"/>
        <v>1640</v>
      </c>
      <c r="F312" s="4" t="str">
        <f t="shared" si="14"/>
        <v>OB6_1640</v>
      </c>
      <c r="G312">
        <v>300</v>
      </c>
      <c r="H312">
        <v>0</v>
      </c>
      <c r="I312" s="14">
        <v>0</v>
      </c>
    </row>
    <row r="313" spans="1:9" x14ac:dyDescent="0.2">
      <c r="A313" s="17">
        <v>44066</v>
      </c>
      <c r="B313" s="8" t="s">
        <v>5</v>
      </c>
      <c r="C313" t="s">
        <v>160</v>
      </c>
      <c r="D313" s="8" t="str">
        <f t="shared" si="13"/>
        <v>OB2</v>
      </c>
      <c r="E313" s="8" t="str">
        <f t="shared" si="15"/>
        <v>1790</v>
      </c>
      <c r="F313" s="4" t="str">
        <f t="shared" si="14"/>
        <v>OB2_1790</v>
      </c>
      <c r="G313">
        <v>2500</v>
      </c>
      <c r="H313">
        <v>960</v>
      </c>
      <c r="I313" s="14">
        <v>0.38400000000000001</v>
      </c>
    </row>
    <row r="314" spans="1:9" x14ac:dyDescent="0.2">
      <c r="A314" s="17">
        <v>44066</v>
      </c>
      <c r="B314" s="8" t="s">
        <v>5</v>
      </c>
      <c r="C314" t="s">
        <v>165</v>
      </c>
      <c r="D314" s="8" t="str">
        <f t="shared" si="13"/>
        <v>OB2</v>
      </c>
      <c r="E314" s="8" t="str">
        <f t="shared" si="15"/>
        <v>1880</v>
      </c>
      <c r="F314" s="4" t="str">
        <f t="shared" si="14"/>
        <v>OB2_1880</v>
      </c>
      <c r="G314">
        <v>2000</v>
      </c>
      <c r="H314">
        <v>1560</v>
      </c>
      <c r="I314" s="14">
        <v>0.78</v>
      </c>
    </row>
    <row r="315" spans="1:9" x14ac:dyDescent="0.2">
      <c r="A315" s="17">
        <v>44066</v>
      </c>
      <c r="B315" s="8" t="s">
        <v>5</v>
      </c>
      <c r="C315" t="s">
        <v>169</v>
      </c>
      <c r="D315" s="8" t="str">
        <f t="shared" si="13"/>
        <v>OB2</v>
      </c>
      <c r="E315" s="8" t="str">
        <f t="shared" si="15"/>
        <v>1880</v>
      </c>
      <c r="F315" s="4" t="str">
        <f t="shared" si="14"/>
        <v>OB2_1880</v>
      </c>
      <c r="G315">
        <v>1500</v>
      </c>
      <c r="H315">
        <v>1440</v>
      </c>
      <c r="I315" s="14">
        <v>0.96</v>
      </c>
    </row>
    <row r="316" spans="1:9" x14ac:dyDescent="0.2">
      <c r="A316" s="17">
        <v>44066</v>
      </c>
      <c r="B316" s="8" t="s">
        <v>5</v>
      </c>
      <c r="C316" t="s">
        <v>172</v>
      </c>
      <c r="D316" s="8" t="str">
        <f t="shared" si="13"/>
        <v>OB5</v>
      </c>
      <c r="E316" s="8" t="str">
        <f t="shared" si="15"/>
        <v>1640</v>
      </c>
      <c r="F316" s="4" t="str">
        <f t="shared" si="14"/>
        <v>OB5_1640</v>
      </c>
      <c r="G316">
        <v>1000</v>
      </c>
      <c r="H316">
        <v>880</v>
      </c>
      <c r="I316" s="14">
        <v>0.88</v>
      </c>
    </row>
    <row r="317" spans="1:9" x14ac:dyDescent="0.2">
      <c r="A317" s="17">
        <v>44066</v>
      </c>
      <c r="B317" s="8" t="s">
        <v>5</v>
      </c>
      <c r="C317" t="s">
        <v>139</v>
      </c>
      <c r="D317" s="8" t="str">
        <f t="shared" si="13"/>
        <v>OB1</v>
      </c>
      <c r="E317" s="8" t="str">
        <f t="shared" si="15"/>
        <v>1620</v>
      </c>
      <c r="F317" s="4" t="str">
        <f t="shared" si="14"/>
        <v>OB1_1620</v>
      </c>
      <c r="G317">
        <v>2500</v>
      </c>
      <c r="H317">
        <v>1955</v>
      </c>
      <c r="I317" s="14">
        <v>0.78200000000000003</v>
      </c>
    </row>
    <row r="318" spans="1:9" x14ac:dyDescent="0.2">
      <c r="A318" s="17">
        <v>44066</v>
      </c>
      <c r="B318" s="8" t="s">
        <v>5</v>
      </c>
      <c r="C318" t="s">
        <v>171</v>
      </c>
      <c r="D318" s="8" t="str">
        <f t="shared" si="13"/>
        <v>OB6</v>
      </c>
      <c r="E318" s="8" t="str">
        <f t="shared" si="15"/>
        <v>1640</v>
      </c>
      <c r="F318" s="4" t="str">
        <f t="shared" si="14"/>
        <v>OB6_1640</v>
      </c>
      <c r="G318">
        <v>300</v>
      </c>
      <c r="H318">
        <v>1430</v>
      </c>
      <c r="I318" s="14">
        <v>4.7666666666666666</v>
      </c>
    </row>
    <row r="319" spans="1:9" x14ac:dyDescent="0.2">
      <c r="A319" s="17">
        <v>44067</v>
      </c>
      <c r="B319" s="8" t="s">
        <v>4</v>
      </c>
      <c r="C319" t="s">
        <v>160</v>
      </c>
      <c r="D319" s="8" t="str">
        <f t="shared" si="13"/>
        <v>OB2</v>
      </c>
      <c r="E319" s="8" t="str">
        <f t="shared" si="15"/>
        <v>1790</v>
      </c>
      <c r="F319" s="4" t="str">
        <f t="shared" si="14"/>
        <v>OB2_1790</v>
      </c>
      <c r="G319">
        <v>3000</v>
      </c>
      <c r="H319">
        <v>2000</v>
      </c>
      <c r="I319" s="14">
        <v>0.66666666666666663</v>
      </c>
    </row>
    <row r="320" spans="1:9" x14ac:dyDescent="0.2">
      <c r="A320" s="17">
        <v>44067</v>
      </c>
      <c r="B320" s="8" t="s">
        <v>4</v>
      </c>
      <c r="C320" t="s">
        <v>165</v>
      </c>
      <c r="D320" s="8" t="str">
        <f t="shared" si="13"/>
        <v>OB2</v>
      </c>
      <c r="E320" s="8" t="str">
        <f t="shared" si="15"/>
        <v>1880</v>
      </c>
      <c r="F320" s="4" t="str">
        <f t="shared" si="14"/>
        <v>OB2_1880</v>
      </c>
      <c r="G320">
        <v>2500</v>
      </c>
      <c r="H320">
        <v>2400</v>
      </c>
      <c r="I320" s="14">
        <v>0.96</v>
      </c>
    </row>
    <row r="321" spans="1:9" x14ac:dyDescent="0.2">
      <c r="A321" s="17">
        <v>44067</v>
      </c>
      <c r="B321" s="8" t="s">
        <v>4</v>
      </c>
      <c r="C321" t="s">
        <v>173</v>
      </c>
      <c r="D321" s="8" t="str">
        <f t="shared" si="13"/>
        <v>OB5</v>
      </c>
      <c r="E321" s="8" t="str">
        <f t="shared" si="15"/>
        <v>1710</v>
      </c>
      <c r="F321" s="4" t="str">
        <f t="shared" si="14"/>
        <v>OB5_1710</v>
      </c>
      <c r="G321">
        <v>1800</v>
      </c>
      <c r="H321">
        <v>1530</v>
      </c>
      <c r="I321" s="14">
        <v>0.85</v>
      </c>
    </row>
    <row r="322" spans="1:9" x14ac:dyDescent="0.2">
      <c r="A322" s="17">
        <v>44067</v>
      </c>
      <c r="B322" s="8" t="s">
        <v>4</v>
      </c>
      <c r="C322" t="s">
        <v>139</v>
      </c>
      <c r="D322" s="8" t="str">
        <f t="shared" si="13"/>
        <v>OB1</v>
      </c>
      <c r="E322" s="8" t="str">
        <f t="shared" si="15"/>
        <v>1620</v>
      </c>
      <c r="F322" s="4" t="str">
        <f t="shared" si="14"/>
        <v>OB1_1620</v>
      </c>
      <c r="G322">
        <v>1500</v>
      </c>
      <c r="H322">
        <v>2000</v>
      </c>
      <c r="I322" s="14">
        <v>1.3333333333333333</v>
      </c>
    </row>
    <row r="323" spans="1:9" x14ac:dyDescent="0.2">
      <c r="A323" s="17">
        <v>44067</v>
      </c>
      <c r="B323" s="8" t="s">
        <v>4</v>
      </c>
      <c r="C323" t="s">
        <v>171</v>
      </c>
      <c r="D323" s="8" t="str">
        <f t="shared" si="13"/>
        <v>OB6</v>
      </c>
      <c r="E323" s="8" t="str">
        <f t="shared" si="15"/>
        <v>1640</v>
      </c>
      <c r="F323" s="4" t="str">
        <f t="shared" si="14"/>
        <v>OB6_1640</v>
      </c>
      <c r="G323">
        <v>300</v>
      </c>
      <c r="H323">
        <v>315</v>
      </c>
      <c r="I323" s="14">
        <v>1.05</v>
      </c>
    </row>
    <row r="324" spans="1:9" x14ac:dyDescent="0.2">
      <c r="A324" s="17">
        <v>44067</v>
      </c>
      <c r="B324" s="8" t="s">
        <v>4</v>
      </c>
      <c r="C324" t="s">
        <v>174</v>
      </c>
      <c r="D324" s="8" t="str">
        <f t="shared" si="13"/>
        <v>OB6</v>
      </c>
      <c r="E324" s="8" t="str">
        <f>MID(C324,FIND("_",C324)+5,4)</f>
        <v>1580</v>
      </c>
      <c r="F324" s="4" t="str">
        <f t="shared" si="14"/>
        <v>OB6_1580</v>
      </c>
      <c r="G324">
        <v>400</v>
      </c>
      <c r="H324">
        <v>455</v>
      </c>
      <c r="I324" s="14">
        <v>1.1375</v>
      </c>
    </row>
    <row r="325" spans="1:9" x14ac:dyDescent="0.2">
      <c r="A325" s="17">
        <v>44067</v>
      </c>
      <c r="B325" s="8" t="s">
        <v>5</v>
      </c>
      <c r="C325" t="s">
        <v>165</v>
      </c>
      <c r="D325" s="8" t="str">
        <f t="shared" ref="D325:D388" si="16">MID(C325,FIND("OB",C325),3)</f>
        <v>OB2</v>
      </c>
      <c r="E325" s="8" t="str">
        <f t="shared" ref="E325:E388" si="17">MID(C325,FIND("_",C325)+1,4)</f>
        <v>1880</v>
      </c>
      <c r="F325" s="4" t="str">
        <f t="shared" ref="F325:F388" si="18">_xlfn.CONCAT(D325,"_",E325)</f>
        <v>OB2_1880</v>
      </c>
      <c r="G325">
        <v>1000</v>
      </c>
      <c r="H325">
        <v>2000</v>
      </c>
      <c r="I325" s="14">
        <v>2</v>
      </c>
    </row>
    <row r="326" spans="1:9" x14ac:dyDescent="0.2">
      <c r="A326" s="17">
        <v>44067</v>
      </c>
      <c r="B326" s="8" t="s">
        <v>5</v>
      </c>
      <c r="C326" t="s">
        <v>175</v>
      </c>
      <c r="D326" s="8" t="str">
        <f t="shared" si="16"/>
        <v>OB6</v>
      </c>
      <c r="E326" s="8" t="str">
        <f t="shared" si="17"/>
        <v>1910</v>
      </c>
      <c r="F326" s="4" t="str">
        <f t="shared" si="18"/>
        <v>OB6_1910</v>
      </c>
      <c r="G326">
        <v>300</v>
      </c>
      <c r="H326">
        <v>0</v>
      </c>
      <c r="I326" s="14">
        <v>0</v>
      </c>
    </row>
    <row r="327" spans="1:9" x14ac:dyDescent="0.2">
      <c r="A327" s="17">
        <v>44067</v>
      </c>
      <c r="B327" s="8" t="s">
        <v>5</v>
      </c>
      <c r="C327" t="s">
        <v>176</v>
      </c>
      <c r="D327" s="8" t="str">
        <f t="shared" si="16"/>
        <v>OB6</v>
      </c>
      <c r="E327" s="8" t="str">
        <f t="shared" si="17"/>
        <v>1910</v>
      </c>
      <c r="F327" s="4" t="str">
        <f t="shared" si="18"/>
        <v>OB6_1910</v>
      </c>
      <c r="G327">
        <v>400</v>
      </c>
      <c r="H327">
        <v>280</v>
      </c>
      <c r="I327" s="14">
        <v>0.7</v>
      </c>
    </row>
    <row r="328" spans="1:9" x14ac:dyDescent="0.2">
      <c r="A328" s="17">
        <v>44067</v>
      </c>
      <c r="B328" s="8" t="s">
        <v>5</v>
      </c>
      <c r="C328" t="s">
        <v>177</v>
      </c>
      <c r="D328" s="8" t="str">
        <f t="shared" si="16"/>
        <v>OB6</v>
      </c>
      <c r="E328" s="8" t="str">
        <f t="shared" si="17"/>
        <v>1910</v>
      </c>
      <c r="F328" s="4" t="str">
        <f t="shared" si="18"/>
        <v>OB6_1910</v>
      </c>
      <c r="G328">
        <v>300</v>
      </c>
      <c r="H328">
        <v>0</v>
      </c>
      <c r="I328" s="14">
        <v>0</v>
      </c>
    </row>
    <row r="329" spans="1:9" x14ac:dyDescent="0.2">
      <c r="A329" s="17">
        <v>44067</v>
      </c>
      <c r="B329" s="8" t="s">
        <v>5</v>
      </c>
      <c r="C329" t="s">
        <v>158</v>
      </c>
      <c r="D329" s="8" t="str">
        <f t="shared" si="16"/>
        <v>OB5</v>
      </c>
      <c r="E329" s="8" t="str">
        <f t="shared" si="17"/>
        <v>1710</v>
      </c>
      <c r="F329" s="4" t="str">
        <f t="shared" si="18"/>
        <v>OB5_1710</v>
      </c>
      <c r="G329">
        <v>1000</v>
      </c>
      <c r="H329">
        <v>1680</v>
      </c>
      <c r="I329" s="14">
        <v>1.68</v>
      </c>
    </row>
    <row r="330" spans="1:9" x14ac:dyDescent="0.2">
      <c r="A330" s="17">
        <v>44067</v>
      </c>
      <c r="B330" s="8" t="s">
        <v>5</v>
      </c>
      <c r="C330" t="s">
        <v>76</v>
      </c>
      <c r="D330" s="8" t="str">
        <f t="shared" si="16"/>
        <v>OB1</v>
      </c>
      <c r="E330" s="8" t="str">
        <f t="shared" si="17"/>
        <v>1620</v>
      </c>
      <c r="F330" s="4" t="str">
        <f t="shared" si="18"/>
        <v>OB1_1620</v>
      </c>
      <c r="G330">
        <v>1500</v>
      </c>
      <c r="H330">
        <v>1400</v>
      </c>
      <c r="I330" s="14">
        <v>0.93333333333333335</v>
      </c>
    </row>
    <row r="331" spans="1:9" x14ac:dyDescent="0.2">
      <c r="A331" s="17">
        <v>44067</v>
      </c>
      <c r="B331" s="8" t="s">
        <v>5</v>
      </c>
      <c r="C331" t="s">
        <v>139</v>
      </c>
      <c r="D331" s="8" t="str">
        <f t="shared" si="16"/>
        <v>OB1</v>
      </c>
      <c r="E331" s="8" t="str">
        <f t="shared" si="17"/>
        <v>1620</v>
      </c>
      <c r="F331" s="4" t="str">
        <f t="shared" si="18"/>
        <v>OB1_1620</v>
      </c>
      <c r="G331">
        <v>1500</v>
      </c>
      <c r="H331">
        <v>1520</v>
      </c>
      <c r="I331" s="14">
        <v>1.0133333333333334</v>
      </c>
    </row>
    <row r="332" spans="1:9" x14ac:dyDescent="0.2">
      <c r="A332" s="17">
        <v>44067</v>
      </c>
      <c r="B332" s="8" t="s">
        <v>5</v>
      </c>
      <c r="C332" t="s">
        <v>171</v>
      </c>
      <c r="D332" s="8" t="str">
        <f t="shared" si="16"/>
        <v>OB6</v>
      </c>
      <c r="E332" s="8" t="str">
        <f t="shared" si="17"/>
        <v>1640</v>
      </c>
      <c r="F332" s="4" t="str">
        <f t="shared" si="18"/>
        <v>OB6_1640</v>
      </c>
      <c r="G332">
        <v>300</v>
      </c>
      <c r="H332">
        <v>490</v>
      </c>
      <c r="I332" s="14">
        <v>1.6333333333333333</v>
      </c>
    </row>
    <row r="333" spans="1:9" x14ac:dyDescent="0.2">
      <c r="A333" s="17">
        <v>44068</v>
      </c>
      <c r="B333" s="8" t="s">
        <v>4</v>
      </c>
      <c r="C333" t="s">
        <v>178</v>
      </c>
      <c r="D333" s="8" t="str">
        <f t="shared" si="16"/>
        <v>OB6</v>
      </c>
      <c r="E333" s="8" t="str">
        <f t="shared" si="17"/>
        <v>1910</v>
      </c>
      <c r="F333" s="4" t="str">
        <f t="shared" si="18"/>
        <v>OB6_1910</v>
      </c>
      <c r="G333">
        <v>400</v>
      </c>
      <c r="H333">
        <v>420</v>
      </c>
      <c r="I333" s="14">
        <v>1.05</v>
      </c>
    </row>
    <row r="334" spans="1:9" x14ac:dyDescent="0.2">
      <c r="A334" s="17">
        <v>44068</v>
      </c>
      <c r="B334" s="8" t="s">
        <v>4</v>
      </c>
      <c r="C334" t="s">
        <v>177</v>
      </c>
      <c r="D334" s="8" t="str">
        <f t="shared" si="16"/>
        <v>OB6</v>
      </c>
      <c r="E334" s="8" t="str">
        <f t="shared" si="17"/>
        <v>1910</v>
      </c>
      <c r="F334" s="4" t="str">
        <f t="shared" si="18"/>
        <v>OB6_1910</v>
      </c>
      <c r="G334">
        <v>300</v>
      </c>
      <c r="H334">
        <v>0</v>
      </c>
      <c r="I334" s="14">
        <v>0</v>
      </c>
    </row>
    <row r="335" spans="1:9" x14ac:dyDescent="0.2">
      <c r="A335" s="17">
        <v>44068</v>
      </c>
      <c r="B335" s="8" t="s">
        <v>4</v>
      </c>
      <c r="C335" t="s">
        <v>179</v>
      </c>
      <c r="D335" s="8" t="str">
        <f t="shared" si="16"/>
        <v>OB6</v>
      </c>
      <c r="E335" s="8" t="str">
        <f t="shared" si="17"/>
        <v>1910</v>
      </c>
      <c r="F335" s="4" t="str">
        <f t="shared" si="18"/>
        <v>OB6_1910</v>
      </c>
      <c r="G335">
        <v>500</v>
      </c>
      <c r="H335">
        <v>455</v>
      </c>
      <c r="I335" s="14">
        <v>0.91</v>
      </c>
    </row>
    <row r="336" spans="1:9" x14ac:dyDescent="0.2">
      <c r="A336" s="17">
        <v>44068</v>
      </c>
      <c r="B336" s="8" t="s">
        <v>4</v>
      </c>
      <c r="C336" t="s">
        <v>158</v>
      </c>
      <c r="D336" s="8" t="str">
        <f t="shared" si="16"/>
        <v>OB5</v>
      </c>
      <c r="E336" s="8" t="str">
        <f t="shared" si="17"/>
        <v>1710</v>
      </c>
      <c r="F336" s="4" t="str">
        <f t="shared" si="18"/>
        <v>OB5_1710</v>
      </c>
      <c r="G336">
        <v>1000</v>
      </c>
      <c r="H336">
        <v>1420</v>
      </c>
      <c r="I336" s="14">
        <v>1.42</v>
      </c>
    </row>
    <row r="337" spans="1:9" x14ac:dyDescent="0.2">
      <c r="A337" s="17">
        <v>44068</v>
      </c>
      <c r="B337" s="8" t="s">
        <v>4</v>
      </c>
      <c r="C337" t="s">
        <v>76</v>
      </c>
      <c r="D337" s="8" t="str">
        <f t="shared" si="16"/>
        <v>OB1</v>
      </c>
      <c r="E337" s="8" t="str">
        <f t="shared" si="17"/>
        <v>1620</v>
      </c>
      <c r="F337" s="4" t="str">
        <f t="shared" si="18"/>
        <v>OB1_1620</v>
      </c>
      <c r="G337">
        <v>800</v>
      </c>
      <c r="H337">
        <v>1280</v>
      </c>
      <c r="I337" s="14">
        <v>1.6</v>
      </c>
    </row>
    <row r="338" spans="1:9" x14ac:dyDescent="0.2">
      <c r="A338" s="17">
        <v>44068</v>
      </c>
      <c r="B338" s="8" t="s">
        <v>4</v>
      </c>
      <c r="C338" t="s">
        <v>172</v>
      </c>
      <c r="D338" s="8" t="str">
        <f t="shared" si="16"/>
        <v>OB5</v>
      </c>
      <c r="E338" s="8" t="str">
        <f t="shared" si="17"/>
        <v>1640</v>
      </c>
      <c r="F338" s="4" t="str">
        <f t="shared" si="18"/>
        <v>OB5_1640</v>
      </c>
      <c r="G338">
        <v>1500</v>
      </c>
      <c r="H338">
        <v>0</v>
      </c>
      <c r="I338" s="14">
        <v>0</v>
      </c>
    </row>
    <row r="339" spans="1:9" x14ac:dyDescent="0.2">
      <c r="A339" s="17">
        <v>44068</v>
      </c>
      <c r="B339" s="8" t="s">
        <v>4</v>
      </c>
      <c r="C339" t="s">
        <v>139</v>
      </c>
      <c r="D339" s="8" t="str">
        <f t="shared" si="16"/>
        <v>OB1</v>
      </c>
      <c r="E339" s="8" t="str">
        <f t="shared" si="17"/>
        <v>1620</v>
      </c>
      <c r="F339" s="4" t="str">
        <f t="shared" si="18"/>
        <v>OB1_1620</v>
      </c>
      <c r="G339">
        <v>1500</v>
      </c>
      <c r="H339">
        <v>2320</v>
      </c>
      <c r="I339" s="14">
        <v>1.5466666666666666</v>
      </c>
    </row>
    <row r="340" spans="1:9" x14ac:dyDescent="0.2">
      <c r="A340" s="17">
        <v>44068</v>
      </c>
      <c r="B340" s="8" t="s">
        <v>4</v>
      </c>
      <c r="C340" t="s">
        <v>167</v>
      </c>
      <c r="D340" s="8" t="str">
        <f t="shared" si="16"/>
        <v>OB5</v>
      </c>
      <c r="E340" s="8" t="str">
        <f t="shared" si="17"/>
        <v>1650</v>
      </c>
      <c r="F340" s="4" t="str">
        <f t="shared" si="18"/>
        <v>OB5_1650</v>
      </c>
      <c r="G340">
        <v>3000</v>
      </c>
      <c r="H340">
        <v>3875</v>
      </c>
      <c r="I340" s="14">
        <v>1.2916666666666667</v>
      </c>
    </row>
    <row r="341" spans="1:9" x14ac:dyDescent="0.2">
      <c r="A341" s="17">
        <v>44068</v>
      </c>
      <c r="B341" s="8" t="s">
        <v>4</v>
      </c>
      <c r="C341" t="s">
        <v>171</v>
      </c>
      <c r="D341" s="8" t="str">
        <f t="shared" si="16"/>
        <v>OB6</v>
      </c>
      <c r="E341" s="8" t="str">
        <f t="shared" si="17"/>
        <v>1640</v>
      </c>
      <c r="F341" s="4" t="str">
        <f t="shared" si="18"/>
        <v>OB6_1640</v>
      </c>
      <c r="G341">
        <v>300</v>
      </c>
      <c r="H341">
        <v>80</v>
      </c>
      <c r="I341" s="14">
        <v>0.26666666666666666</v>
      </c>
    </row>
    <row r="342" spans="1:9" x14ac:dyDescent="0.2">
      <c r="A342" s="17">
        <v>44068</v>
      </c>
      <c r="B342" s="8" t="s">
        <v>5</v>
      </c>
      <c r="C342" t="s">
        <v>176</v>
      </c>
      <c r="D342" s="8" t="str">
        <f t="shared" si="16"/>
        <v>OB6</v>
      </c>
      <c r="E342" s="8" t="str">
        <f t="shared" si="17"/>
        <v>1910</v>
      </c>
      <c r="F342" s="4" t="str">
        <f t="shared" si="18"/>
        <v>OB6_1910</v>
      </c>
      <c r="G342">
        <v>400</v>
      </c>
      <c r="H342">
        <v>700</v>
      </c>
      <c r="I342" s="14">
        <v>1.75</v>
      </c>
    </row>
    <row r="343" spans="1:9" x14ac:dyDescent="0.2">
      <c r="A343" s="17">
        <v>44068</v>
      </c>
      <c r="B343" s="8" t="s">
        <v>5</v>
      </c>
      <c r="C343" t="s">
        <v>179</v>
      </c>
      <c r="D343" s="8" t="str">
        <f t="shared" si="16"/>
        <v>OB6</v>
      </c>
      <c r="E343" s="8" t="str">
        <f t="shared" si="17"/>
        <v>1910</v>
      </c>
      <c r="F343" s="4" t="str">
        <f t="shared" si="18"/>
        <v>OB6_1910</v>
      </c>
      <c r="G343">
        <v>300</v>
      </c>
      <c r="H343">
        <v>520</v>
      </c>
      <c r="I343" s="14">
        <v>1.7333333333333334</v>
      </c>
    </row>
    <row r="344" spans="1:9" x14ac:dyDescent="0.2">
      <c r="A344" s="17">
        <v>44068</v>
      </c>
      <c r="B344" s="8" t="s">
        <v>5</v>
      </c>
      <c r="C344" t="s">
        <v>76</v>
      </c>
      <c r="D344" s="8" t="str">
        <f t="shared" si="16"/>
        <v>OB1</v>
      </c>
      <c r="E344" s="8" t="str">
        <f t="shared" si="17"/>
        <v>1620</v>
      </c>
      <c r="F344" s="4" t="str">
        <f t="shared" si="18"/>
        <v>OB1_1620</v>
      </c>
      <c r="G344">
        <v>1500</v>
      </c>
      <c r="H344">
        <v>0</v>
      </c>
      <c r="I344" s="14">
        <v>0</v>
      </c>
    </row>
    <row r="345" spans="1:9" x14ac:dyDescent="0.2">
      <c r="A345" s="17">
        <v>44068</v>
      </c>
      <c r="B345" s="8" t="s">
        <v>5</v>
      </c>
      <c r="C345" t="s">
        <v>172</v>
      </c>
      <c r="D345" s="8" t="str">
        <f t="shared" si="16"/>
        <v>OB5</v>
      </c>
      <c r="E345" s="8" t="str">
        <f t="shared" si="17"/>
        <v>1640</v>
      </c>
      <c r="F345" s="4" t="str">
        <f t="shared" si="18"/>
        <v>OB5_1640</v>
      </c>
      <c r="G345">
        <v>1000</v>
      </c>
      <c r="H345">
        <v>0</v>
      </c>
      <c r="I345" s="14">
        <v>0</v>
      </c>
    </row>
    <row r="346" spans="1:9" x14ac:dyDescent="0.2">
      <c r="A346" s="17">
        <v>44068</v>
      </c>
      <c r="B346" s="8" t="s">
        <v>5</v>
      </c>
      <c r="C346" t="s">
        <v>139</v>
      </c>
      <c r="D346" s="8" t="str">
        <f t="shared" si="16"/>
        <v>OB1</v>
      </c>
      <c r="E346" s="8" t="str">
        <f t="shared" si="17"/>
        <v>1620</v>
      </c>
      <c r="F346" s="4" t="str">
        <f t="shared" si="18"/>
        <v>OB1_1620</v>
      </c>
      <c r="G346">
        <v>2000</v>
      </c>
      <c r="H346">
        <v>2240</v>
      </c>
      <c r="I346" s="14">
        <v>1.1200000000000001</v>
      </c>
    </row>
    <row r="347" spans="1:9" x14ac:dyDescent="0.2">
      <c r="A347" s="17">
        <v>44068</v>
      </c>
      <c r="B347" s="8" t="s">
        <v>5</v>
      </c>
      <c r="C347" t="s">
        <v>167</v>
      </c>
      <c r="D347" s="8" t="str">
        <f t="shared" si="16"/>
        <v>OB5</v>
      </c>
      <c r="E347" s="8" t="str">
        <f t="shared" si="17"/>
        <v>1650</v>
      </c>
      <c r="F347" s="4" t="str">
        <f t="shared" si="18"/>
        <v>OB5_1650</v>
      </c>
      <c r="G347">
        <v>4000</v>
      </c>
      <c r="H347">
        <v>4520</v>
      </c>
      <c r="I347" s="14">
        <v>1.1299999999999999</v>
      </c>
    </row>
    <row r="348" spans="1:9" x14ac:dyDescent="0.2">
      <c r="A348" s="17">
        <v>44068</v>
      </c>
      <c r="B348" s="8" t="s">
        <v>5</v>
      </c>
      <c r="C348" t="s">
        <v>121</v>
      </c>
      <c r="D348" s="8" t="str">
        <f t="shared" si="16"/>
        <v>OB6</v>
      </c>
      <c r="E348" s="8" t="str">
        <f t="shared" si="17"/>
        <v>1580</v>
      </c>
      <c r="F348" s="4" t="str">
        <f t="shared" si="18"/>
        <v>OB6_1580</v>
      </c>
      <c r="G348">
        <v>400</v>
      </c>
      <c r="H348">
        <v>805</v>
      </c>
      <c r="I348" s="14">
        <v>2.0125000000000002</v>
      </c>
    </row>
    <row r="349" spans="1:9" x14ac:dyDescent="0.2">
      <c r="A349" s="17">
        <v>44068</v>
      </c>
      <c r="B349" s="8" t="s">
        <v>5</v>
      </c>
      <c r="C349" t="s">
        <v>180</v>
      </c>
      <c r="D349" s="8" t="str">
        <f t="shared" si="16"/>
        <v>OB2</v>
      </c>
      <c r="E349" s="8" t="str">
        <f t="shared" si="17"/>
        <v>1650</v>
      </c>
      <c r="F349" s="4" t="str">
        <f t="shared" si="18"/>
        <v>OB2_1650</v>
      </c>
      <c r="G349">
        <v>300</v>
      </c>
      <c r="H349">
        <v>525</v>
      </c>
      <c r="I349" s="14">
        <v>1.75</v>
      </c>
    </row>
    <row r="350" spans="1:9" x14ac:dyDescent="0.2">
      <c r="A350" s="17">
        <v>44069</v>
      </c>
      <c r="B350" s="8" t="s">
        <v>4</v>
      </c>
      <c r="C350" t="s">
        <v>177</v>
      </c>
      <c r="D350" s="8" t="str">
        <f t="shared" si="16"/>
        <v>OB6</v>
      </c>
      <c r="E350" s="8" t="str">
        <f t="shared" si="17"/>
        <v>1910</v>
      </c>
      <c r="F350" s="4" t="str">
        <f t="shared" si="18"/>
        <v>OB6_1910</v>
      </c>
      <c r="G350">
        <v>2000</v>
      </c>
      <c r="H350">
        <v>880</v>
      </c>
      <c r="I350" s="14">
        <v>0.44</v>
      </c>
    </row>
    <row r="351" spans="1:9" x14ac:dyDescent="0.2">
      <c r="A351" s="17">
        <v>44069</v>
      </c>
      <c r="B351" s="8" t="s">
        <v>4</v>
      </c>
      <c r="C351" t="s">
        <v>158</v>
      </c>
      <c r="D351" s="8" t="str">
        <f t="shared" si="16"/>
        <v>OB5</v>
      </c>
      <c r="E351" s="8" t="str">
        <f t="shared" si="17"/>
        <v>1710</v>
      </c>
      <c r="F351" s="4" t="str">
        <f t="shared" si="18"/>
        <v>OB5_1710</v>
      </c>
      <c r="G351">
        <v>1500</v>
      </c>
      <c r="H351">
        <v>1155</v>
      </c>
      <c r="I351" s="14">
        <v>0.77</v>
      </c>
    </row>
    <row r="352" spans="1:9" x14ac:dyDescent="0.2">
      <c r="A352" s="17">
        <v>44069</v>
      </c>
      <c r="B352" s="8" t="s">
        <v>4</v>
      </c>
      <c r="C352" t="s">
        <v>172</v>
      </c>
      <c r="D352" s="8" t="str">
        <f t="shared" si="16"/>
        <v>OB5</v>
      </c>
      <c r="E352" s="8" t="str">
        <f t="shared" si="17"/>
        <v>1640</v>
      </c>
      <c r="F352" s="4" t="str">
        <f t="shared" si="18"/>
        <v>OB5_1640</v>
      </c>
      <c r="G352">
        <v>1500</v>
      </c>
      <c r="H352">
        <v>1680</v>
      </c>
      <c r="I352" s="14">
        <v>1.1200000000000001</v>
      </c>
    </row>
    <row r="353" spans="1:9" x14ac:dyDescent="0.2">
      <c r="A353" s="17">
        <v>44069</v>
      </c>
      <c r="B353" s="8" t="s">
        <v>4</v>
      </c>
      <c r="C353" t="s">
        <v>139</v>
      </c>
      <c r="D353" s="8" t="str">
        <f t="shared" si="16"/>
        <v>OB1</v>
      </c>
      <c r="E353" s="8" t="str">
        <f t="shared" si="17"/>
        <v>1620</v>
      </c>
      <c r="F353" s="4" t="str">
        <f t="shared" si="18"/>
        <v>OB1_1620</v>
      </c>
      <c r="G353">
        <v>1500</v>
      </c>
      <c r="H353">
        <v>1920</v>
      </c>
      <c r="I353" s="14">
        <v>1.28</v>
      </c>
    </row>
    <row r="354" spans="1:9" x14ac:dyDescent="0.2">
      <c r="A354" s="17">
        <v>44069</v>
      </c>
      <c r="B354" s="8" t="s">
        <v>4</v>
      </c>
      <c r="C354" t="s">
        <v>167</v>
      </c>
      <c r="D354" s="8" t="str">
        <f t="shared" si="16"/>
        <v>OB5</v>
      </c>
      <c r="E354" s="8" t="str">
        <f t="shared" si="17"/>
        <v>1650</v>
      </c>
      <c r="F354" s="4" t="str">
        <f t="shared" si="18"/>
        <v>OB5_1650</v>
      </c>
      <c r="G354">
        <v>3500</v>
      </c>
      <c r="H354">
        <v>4080</v>
      </c>
      <c r="I354" s="14">
        <v>1.1657142857142857</v>
      </c>
    </row>
    <row r="355" spans="1:9" x14ac:dyDescent="0.2">
      <c r="A355" s="17">
        <v>44069</v>
      </c>
      <c r="B355" s="8" t="s">
        <v>5</v>
      </c>
      <c r="C355" t="s">
        <v>165</v>
      </c>
      <c r="D355" s="8" t="str">
        <f t="shared" si="16"/>
        <v>OB2</v>
      </c>
      <c r="E355" s="8" t="str">
        <f t="shared" si="17"/>
        <v>1880</v>
      </c>
      <c r="F355" s="4" t="str">
        <f t="shared" si="18"/>
        <v>OB2_1880</v>
      </c>
      <c r="G355">
        <v>2000</v>
      </c>
      <c r="H355">
        <v>1800</v>
      </c>
      <c r="I355" s="14">
        <v>0.9</v>
      </c>
    </row>
    <row r="356" spans="1:9" x14ac:dyDescent="0.2">
      <c r="A356" s="17">
        <v>44069</v>
      </c>
      <c r="B356" s="8" t="s">
        <v>5</v>
      </c>
      <c r="C356" t="s">
        <v>158</v>
      </c>
      <c r="D356" s="8" t="str">
        <f t="shared" si="16"/>
        <v>OB5</v>
      </c>
      <c r="E356" s="8" t="str">
        <f t="shared" si="17"/>
        <v>1710</v>
      </c>
      <c r="F356" s="4" t="str">
        <f t="shared" si="18"/>
        <v>OB5_1710</v>
      </c>
      <c r="G356">
        <v>1000</v>
      </c>
      <c r="H356">
        <v>400</v>
      </c>
      <c r="I356" s="14">
        <v>0.4</v>
      </c>
    </row>
    <row r="357" spans="1:9" x14ac:dyDescent="0.2">
      <c r="A357" s="17">
        <v>44069</v>
      </c>
      <c r="B357" s="8" t="s">
        <v>5</v>
      </c>
      <c r="C357" t="s">
        <v>76</v>
      </c>
      <c r="D357" s="8" t="str">
        <f t="shared" si="16"/>
        <v>OB1</v>
      </c>
      <c r="E357" s="8" t="str">
        <f t="shared" si="17"/>
        <v>1620</v>
      </c>
      <c r="F357" s="4" t="str">
        <f t="shared" si="18"/>
        <v>OB1_1620</v>
      </c>
      <c r="G357">
        <v>1000</v>
      </c>
      <c r="H357">
        <v>525</v>
      </c>
      <c r="I357" s="14">
        <v>0.52500000000000002</v>
      </c>
    </row>
    <row r="358" spans="1:9" x14ac:dyDescent="0.2">
      <c r="A358" s="17">
        <v>44069</v>
      </c>
      <c r="B358" s="8" t="s">
        <v>5</v>
      </c>
      <c r="C358" t="s">
        <v>172</v>
      </c>
      <c r="D358" s="8" t="str">
        <f t="shared" si="16"/>
        <v>OB5</v>
      </c>
      <c r="E358" s="8" t="str">
        <f t="shared" si="17"/>
        <v>1640</v>
      </c>
      <c r="F358" s="4" t="str">
        <f t="shared" si="18"/>
        <v>OB5_1640</v>
      </c>
      <c r="G358">
        <v>1500</v>
      </c>
      <c r="H358">
        <v>1750</v>
      </c>
      <c r="I358" s="14">
        <v>1.1666666666666667</v>
      </c>
    </row>
    <row r="359" spans="1:9" x14ac:dyDescent="0.2">
      <c r="A359" s="17">
        <v>44069</v>
      </c>
      <c r="B359" s="8" t="s">
        <v>5</v>
      </c>
      <c r="C359" t="s">
        <v>139</v>
      </c>
      <c r="D359" s="8" t="str">
        <f t="shared" si="16"/>
        <v>OB1</v>
      </c>
      <c r="E359" s="8" t="str">
        <f t="shared" si="17"/>
        <v>1620</v>
      </c>
      <c r="F359" s="4" t="str">
        <f t="shared" si="18"/>
        <v>OB1_1620</v>
      </c>
      <c r="G359">
        <v>1100</v>
      </c>
      <c r="H359">
        <v>1505</v>
      </c>
      <c r="I359" s="14">
        <v>1.3681818181818182</v>
      </c>
    </row>
    <row r="360" spans="1:9" x14ac:dyDescent="0.2">
      <c r="A360" s="17">
        <v>44069</v>
      </c>
      <c r="B360" s="8" t="s">
        <v>5</v>
      </c>
      <c r="C360" t="s">
        <v>167</v>
      </c>
      <c r="D360" s="8" t="str">
        <f t="shared" si="16"/>
        <v>OB5</v>
      </c>
      <c r="E360" s="8" t="str">
        <f t="shared" si="17"/>
        <v>1650</v>
      </c>
      <c r="F360" s="4" t="str">
        <f t="shared" si="18"/>
        <v>OB5_1650</v>
      </c>
      <c r="G360">
        <v>3000</v>
      </c>
      <c r="H360">
        <v>3240</v>
      </c>
      <c r="I360" s="14">
        <v>1.08</v>
      </c>
    </row>
    <row r="361" spans="1:9" x14ac:dyDescent="0.2">
      <c r="A361" s="17">
        <v>44069</v>
      </c>
      <c r="B361" s="8" t="s">
        <v>5</v>
      </c>
      <c r="C361" t="s">
        <v>181</v>
      </c>
      <c r="D361" s="8" t="str">
        <f t="shared" si="16"/>
        <v>OB5</v>
      </c>
      <c r="E361" s="8" t="str">
        <f t="shared" si="17"/>
        <v>1680</v>
      </c>
      <c r="F361" s="4" t="str">
        <f t="shared" si="18"/>
        <v>OB5_1680</v>
      </c>
      <c r="G361">
        <v>400</v>
      </c>
      <c r="H361">
        <v>525</v>
      </c>
      <c r="I361" s="14">
        <v>1.3125</v>
      </c>
    </row>
    <row r="362" spans="1:9" x14ac:dyDescent="0.2">
      <c r="A362" s="17">
        <v>44070</v>
      </c>
      <c r="B362" s="8" t="s">
        <v>4</v>
      </c>
      <c r="C362" t="s">
        <v>165</v>
      </c>
      <c r="D362" s="8" t="str">
        <f t="shared" si="16"/>
        <v>OB2</v>
      </c>
      <c r="E362" s="8" t="str">
        <f t="shared" si="17"/>
        <v>1880</v>
      </c>
      <c r="F362" s="4" t="str">
        <f t="shared" si="18"/>
        <v>OB2_1880</v>
      </c>
      <c r="G362">
        <v>2500</v>
      </c>
      <c r="H362">
        <v>2000</v>
      </c>
      <c r="I362" s="14">
        <v>0.8</v>
      </c>
    </row>
    <row r="363" spans="1:9" x14ac:dyDescent="0.2">
      <c r="A363" s="17">
        <v>44070</v>
      </c>
      <c r="B363" s="8" t="s">
        <v>4</v>
      </c>
      <c r="C363" t="s">
        <v>76</v>
      </c>
      <c r="D363" s="8" t="str">
        <f t="shared" si="16"/>
        <v>OB1</v>
      </c>
      <c r="E363" s="8" t="str">
        <f t="shared" si="17"/>
        <v>1620</v>
      </c>
      <c r="F363" s="4" t="str">
        <f t="shared" si="18"/>
        <v>OB1_1620</v>
      </c>
      <c r="G363">
        <v>1000</v>
      </c>
      <c r="H363">
        <v>0</v>
      </c>
      <c r="I363" s="14">
        <v>0</v>
      </c>
    </row>
    <row r="364" spans="1:9" x14ac:dyDescent="0.2">
      <c r="A364" s="17">
        <v>44070</v>
      </c>
      <c r="B364" s="8" t="s">
        <v>4</v>
      </c>
      <c r="C364" t="s">
        <v>172</v>
      </c>
      <c r="D364" s="8" t="str">
        <f t="shared" si="16"/>
        <v>OB5</v>
      </c>
      <c r="E364" s="8" t="str">
        <f t="shared" si="17"/>
        <v>1640</v>
      </c>
      <c r="F364" s="4" t="str">
        <f t="shared" si="18"/>
        <v>OB5_1640</v>
      </c>
      <c r="G364">
        <v>1600</v>
      </c>
      <c r="H364">
        <v>1500</v>
      </c>
      <c r="I364" s="14">
        <v>0.9375</v>
      </c>
    </row>
    <row r="365" spans="1:9" x14ac:dyDescent="0.2">
      <c r="A365" s="17">
        <v>44070</v>
      </c>
      <c r="B365" s="8" t="s">
        <v>4</v>
      </c>
      <c r="C365" t="s">
        <v>139</v>
      </c>
      <c r="D365" s="8" t="str">
        <f t="shared" si="16"/>
        <v>OB1</v>
      </c>
      <c r="E365" s="8" t="str">
        <f t="shared" si="17"/>
        <v>1620</v>
      </c>
      <c r="F365" s="4" t="str">
        <f t="shared" si="18"/>
        <v>OB1_1620</v>
      </c>
      <c r="G365">
        <v>1500</v>
      </c>
      <c r="H365">
        <v>1440</v>
      </c>
      <c r="I365" s="14">
        <v>0.96</v>
      </c>
    </row>
    <row r="366" spans="1:9" x14ac:dyDescent="0.2">
      <c r="A366" s="17">
        <v>44070</v>
      </c>
      <c r="B366" s="8" t="s">
        <v>4</v>
      </c>
      <c r="C366" t="s">
        <v>167</v>
      </c>
      <c r="D366" s="8" t="str">
        <f t="shared" si="16"/>
        <v>OB5</v>
      </c>
      <c r="E366" s="8" t="str">
        <f t="shared" si="17"/>
        <v>1650</v>
      </c>
      <c r="F366" s="4" t="str">
        <f t="shared" si="18"/>
        <v>OB5_1650</v>
      </c>
      <c r="G366">
        <v>2500</v>
      </c>
      <c r="H366">
        <v>1520</v>
      </c>
      <c r="I366" s="14">
        <v>0.60799999999999998</v>
      </c>
    </row>
    <row r="367" spans="1:9" x14ac:dyDescent="0.2">
      <c r="A367" s="17">
        <v>44070</v>
      </c>
      <c r="B367" s="8" t="s">
        <v>4</v>
      </c>
      <c r="C367" t="s">
        <v>181</v>
      </c>
      <c r="D367" s="8" t="str">
        <f t="shared" si="16"/>
        <v>OB5</v>
      </c>
      <c r="E367" s="8" t="str">
        <f t="shared" si="17"/>
        <v>1680</v>
      </c>
      <c r="F367" s="4" t="str">
        <f t="shared" si="18"/>
        <v>OB5_1680</v>
      </c>
      <c r="G367">
        <v>400</v>
      </c>
      <c r="H367">
        <v>0</v>
      </c>
      <c r="I367" s="14">
        <v>0</v>
      </c>
    </row>
    <row r="368" spans="1:9" x14ac:dyDescent="0.2">
      <c r="A368" s="17">
        <v>44070</v>
      </c>
      <c r="B368" s="8" t="s">
        <v>4</v>
      </c>
      <c r="C368" t="s">
        <v>182</v>
      </c>
      <c r="D368" s="8" t="str">
        <f t="shared" si="16"/>
        <v>OB2</v>
      </c>
      <c r="E368" s="8" t="str">
        <f t="shared" si="17"/>
        <v>1680</v>
      </c>
      <c r="F368" s="4" t="str">
        <f t="shared" si="18"/>
        <v>OB2_1680</v>
      </c>
      <c r="G368">
        <v>300</v>
      </c>
      <c r="H368">
        <v>315</v>
      </c>
      <c r="I368" s="14">
        <v>1.05</v>
      </c>
    </row>
    <row r="369" spans="1:9" x14ac:dyDescent="0.2">
      <c r="A369" s="17">
        <v>44070</v>
      </c>
      <c r="B369" s="8" t="s">
        <v>5</v>
      </c>
      <c r="C369" t="s">
        <v>183</v>
      </c>
      <c r="D369" s="8" t="str">
        <f t="shared" si="16"/>
        <v>OB6</v>
      </c>
      <c r="E369" s="8" t="str">
        <f t="shared" si="17"/>
        <v>1910</v>
      </c>
      <c r="F369" s="4" t="str">
        <f t="shared" si="18"/>
        <v>OB6_1910</v>
      </c>
      <c r="G369">
        <v>500</v>
      </c>
      <c r="H369">
        <v>0</v>
      </c>
      <c r="I369" s="14">
        <v>0</v>
      </c>
    </row>
    <row r="370" spans="1:9" x14ac:dyDescent="0.2">
      <c r="A370" s="17">
        <v>44070</v>
      </c>
      <c r="B370" s="8" t="s">
        <v>5</v>
      </c>
      <c r="C370" t="s">
        <v>165</v>
      </c>
      <c r="D370" s="8" t="str">
        <f t="shared" si="16"/>
        <v>OB2</v>
      </c>
      <c r="E370" s="8" t="str">
        <f t="shared" si="17"/>
        <v>1880</v>
      </c>
      <c r="F370" s="4" t="str">
        <f t="shared" si="18"/>
        <v>OB2_1880</v>
      </c>
      <c r="G370">
        <v>1500</v>
      </c>
      <c r="H370">
        <v>0</v>
      </c>
      <c r="I370" s="14">
        <v>0</v>
      </c>
    </row>
    <row r="371" spans="1:9" x14ac:dyDescent="0.2">
      <c r="A371" s="17">
        <v>44070</v>
      </c>
      <c r="B371" s="8" t="s">
        <v>5</v>
      </c>
      <c r="C371" t="s">
        <v>184</v>
      </c>
      <c r="D371" s="8" t="str">
        <f t="shared" si="16"/>
        <v>OB2</v>
      </c>
      <c r="E371" s="8" t="str">
        <f t="shared" si="17"/>
        <v>1880</v>
      </c>
      <c r="F371" s="4" t="str">
        <f t="shared" si="18"/>
        <v>OB2_1880</v>
      </c>
      <c r="G371">
        <v>1500</v>
      </c>
      <c r="H371">
        <v>3360</v>
      </c>
      <c r="I371" s="14">
        <v>2.2400000000000002</v>
      </c>
    </row>
    <row r="372" spans="1:9" x14ac:dyDescent="0.2">
      <c r="A372" s="17">
        <v>44070</v>
      </c>
      <c r="B372" s="8" t="s">
        <v>5</v>
      </c>
      <c r="C372" t="s">
        <v>167</v>
      </c>
      <c r="D372" s="8" t="str">
        <f t="shared" si="16"/>
        <v>OB5</v>
      </c>
      <c r="E372" s="8" t="str">
        <f t="shared" si="17"/>
        <v>1650</v>
      </c>
      <c r="F372" s="4" t="str">
        <f t="shared" si="18"/>
        <v>OB5_1650</v>
      </c>
      <c r="G372">
        <v>3000</v>
      </c>
      <c r="H372">
        <v>3200</v>
      </c>
      <c r="I372" s="14">
        <v>1.0666666666666667</v>
      </c>
    </row>
    <row r="373" spans="1:9" x14ac:dyDescent="0.2">
      <c r="A373" s="17">
        <v>44070</v>
      </c>
      <c r="B373" s="8" t="s">
        <v>5</v>
      </c>
      <c r="C373" t="s">
        <v>172</v>
      </c>
      <c r="D373" s="8" t="str">
        <f t="shared" si="16"/>
        <v>OB5</v>
      </c>
      <c r="E373" s="8" t="str">
        <f t="shared" si="17"/>
        <v>1640</v>
      </c>
      <c r="F373" s="4" t="str">
        <f t="shared" si="18"/>
        <v>OB5_1640</v>
      </c>
      <c r="G373">
        <v>2000</v>
      </c>
      <c r="H373">
        <v>1620</v>
      </c>
      <c r="I373" s="14">
        <v>0.81</v>
      </c>
    </row>
    <row r="374" spans="1:9" x14ac:dyDescent="0.2">
      <c r="A374" s="17">
        <v>44070</v>
      </c>
      <c r="B374" s="8" t="s">
        <v>5</v>
      </c>
      <c r="C374" t="s">
        <v>139</v>
      </c>
      <c r="D374" s="8" t="str">
        <f t="shared" si="16"/>
        <v>OB1</v>
      </c>
      <c r="E374" s="8" t="str">
        <f t="shared" si="17"/>
        <v>1620</v>
      </c>
      <c r="F374" s="4" t="str">
        <f t="shared" si="18"/>
        <v>OB1_1620</v>
      </c>
      <c r="G374">
        <v>2000</v>
      </c>
      <c r="H374">
        <v>1680</v>
      </c>
      <c r="I374" s="14">
        <v>0.84</v>
      </c>
    </row>
    <row r="375" spans="1:9" x14ac:dyDescent="0.2">
      <c r="A375" s="17">
        <v>44070</v>
      </c>
      <c r="B375" s="8" t="s">
        <v>5</v>
      </c>
      <c r="C375" t="s">
        <v>185</v>
      </c>
      <c r="D375" s="8" t="str">
        <f t="shared" si="16"/>
        <v>OB1</v>
      </c>
      <c r="E375" s="8" t="str">
        <f>MID(C375,FIND("_",C375)+5,4)</f>
        <v>1550</v>
      </c>
      <c r="F375" s="4" t="str">
        <f t="shared" si="18"/>
        <v>OB1_1550</v>
      </c>
      <c r="G375">
        <v>400</v>
      </c>
      <c r="H375">
        <v>560</v>
      </c>
      <c r="I375" s="14">
        <v>1.4</v>
      </c>
    </row>
    <row r="376" spans="1:9" x14ac:dyDescent="0.2">
      <c r="A376" s="17">
        <v>44071</v>
      </c>
      <c r="B376" s="8" t="s">
        <v>4</v>
      </c>
      <c r="C376" t="s">
        <v>183</v>
      </c>
      <c r="D376" s="8" t="str">
        <f t="shared" si="16"/>
        <v>OB6</v>
      </c>
      <c r="E376" s="8" t="str">
        <f t="shared" si="17"/>
        <v>1910</v>
      </c>
      <c r="F376" s="4" t="str">
        <f t="shared" si="18"/>
        <v>OB6_1910</v>
      </c>
      <c r="G376">
        <v>2000</v>
      </c>
      <c r="H376">
        <v>1720</v>
      </c>
      <c r="I376" s="14">
        <v>0.86</v>
      </c>
    </row>
    <row r="377" spans="1:9" x14ac:dyDescent="0.2">
      <c r="A377" s="17">
        <v>44071</v>
      </c>
      <c r="B377" s="8" t="s">
        <v>4</v>
      </c>
      <c r="C377" t="s">
        <v>184</v>
      </c>
      <c r="D377" s="8" t="str">
        <f t="shared" si="16"/>
        <v>OB2</v>
      </c>
      <c r="E377" s="8" t="str">
        <f t="shared" si="17"/>
        <v>1880</v>
      </c>
      <c r="F377" s="4" t="str">
        <f t="shared" si="18"/>
        <v>OB2_1880</v>
      </c>
      <c r="G377">
        <v>2500</v>
      </c>
      <c r="H377">
        <v>2600</v>
      </c>
      <c r="I377" s="14">
        <v>1.04</v>
      </c>
    </row>
    <row r="378" spans="1:9" x14ac:dyDescent="0.2">
      <c r="A378" s="17">
        <v>44071</v>
      </c>
      <c r="B378" s="8" t="s">
        <v>4</v>
      </c>
      <c r="C378" t="s">
        <v>170</v>
      </c>
      <c r="D378" s="8" t="str">
        <f t="shared" si="16"/>
        <v>OB2</v>
      </c>
      <c r="E378" s="8" t="str">
        <f t="shared" si="17"/>
        <v>1800</v>
      </c>
      <c r="F378" s="4" t="str">
        <f t="shared" si="18"/>
        <v>OB2_1800</v>
      </c>
      <c r="G378">
        <v>400</v>
      </c>
      <c r="H378">
        <v>240</v>
      </c>
      <c r="I378" s="14">
        <v>0.6</v>
      </c>
    </row>
    <row r="379" spans="1:9" x14ac:dyDescent="0.2">
      <c r="A379" s="17">
        <v>44071</v>
      </c>
      <c r="B379" s="8" t="s">
        <v>4</v>
      </c>
      <c r="C379" t="s">
        <v>167</v>
      </c>
      <c r="D379" s="8" t="str">
        <f t="shared" si="16"/>
        <v>OB5</v>
      </c>
      <c r="E379" s="8" t="str">
        <f t="shared" si="17"/>
        <v>1650</v>
      </c>
      <c r="F379" s="4" t="str">
        <f t="shared" si="18"/>
        <v>OB5_1650</v>
      </c>
      <c r="G379">
        <v>2500</v>
      </c>
      <c r="H379">
        <v>2120</v>
      </c>
      <c r="I379" s="14">
        <v>0.84799999999999998</v>
      </c>
    </row>
    <row r="380" spans="1:9" x14ac:dyDescent="0.2">
      <c r="A380" s="17">
        <v>44071</v>
      </c>
      <c r="B380" s="8" t="s">
        <v>4</v>
      </c>
      <c r="C380" t="s">
        <v>172</v>
      </c>
      <c r="D380" s="8" t="str">
        <f t="shared" si="16"/>
        <v>OB5</v>
      </c>
      <c r="E380" s="8" t="str">
        <f t="shared" si="17"/>
        <v>1640</v>
      </c>
      <c r="F380" s="4" t="str">
        <f t="shared" si="18"/>
        <v>OB5_1640</v>
      </c>
      <c r="G380">
        <v>2000</v>
      </c>
      <c r="H380">
        <v>2195</v>
      </c>
      <c r="I380" s="14">
        <v>1.0974999999999999</v>
      </c>
    </row>
    <row r="381" spans="1:9" x14ac:dyDescent="0.2">
      <c r="A381" s="17">
        <v>44071</v>
      </c>
      <c r="B381" s="8" t="s">
        <v>4</v>
      </c>
      <c r="C381" t="s">
        <v>76</v>
      </c>
      <c r="D381" s="8" t="str">
        <f t="shared" si="16"/>
        <v>OB1</v>
      </c>
      <c r="E381" s="8" t="str">
        <f t="shared" si="17"/>
        <v>1620</v>
      </c>
      <c r="F381" s="4" t="str">
        <f t="shared" si="18"/>
        <v>OB1_1620</v>
      </c>
      <c r="G381">
        <v>1000</v>
      </c>
      <c r="H381">
        <v>0</v>
      </c>
      <c r="I381" s="14">
        <v>0</v>
      </c>
    </row>
    <row r="382" spans="1:9" x14ac:dyDescent="0.2">
      <c r="A382" s="17">
        <v>44071</v>
      </c>
      <c r="B382" s="8" t="s">
        <v>5</v>
      </c>
      <c r="C382" t="s">
        <v>183</v>
      </c>
      <c r="D382" s="8" t="str">
        <f t="shared" si="16"/>
        <v>OB6</v>
      </c>
      <c r="E382" s="8" t="str">
        <f t="shared" si="17"/>
        <v>1910</v>
      </c>
      <c r="F382" s="4" t="str">
        <f t="shared" si="18"/>
        <v>OB6_1910</v>
      </c>
      <c r="G382">
        <v>2000</v>
      </c>
      <c r="H382">
        <v>1760</v>
      </c>
      <c r="I382" s="14">
        <v>0.88</v>
      </c>
    </row>
    <row r="383" spans="1:9" x14ac:dyDescent="0.2">
      <c r="A383" s="17">
        <v>44071</v>
      </c>
      <c r="B383" s="8" t="s">
        <v>5</v>
      </c>
      <c r="C383" t="s">
        <v>165</v>
      </c>
      <c r="D383" s="8" t="str">
        <f t="shared" si="16"/>
        <v>OB2</v>
      </c>
      <c r="E383" s="8" t="str">
        <f t="shared" si="17"/>
        <v>1880</v>
      </c>
      <c r="F383" s="4" t="str">
        <f t="shared" si="18"/>
        <v>OB2_1880</v>
      </c>
      <c r="G383">
        <v>1000</v>
      </c>
      <c r="H383">
        <v>1040</v>
      </c>
      <c r="I383" s="14">
        <v>1.04</v>
      </c>
    </row>
    <row r="384" spans="1:9" x14ac:dyDescent="0.2">
      <c r="A384" s="17">
        <v>44071</v>
      </c>
      <c r="B384" s="8" t="s">
        <v>5</v>
      </c>
      <c r="C384" t="s">
        <v>184</v>
      </c>
      <c r="D384" s="8" t="str">
        <f t="shared" si="16"/>
        <v>OB2</v>
      </c>
      <c r="E384" s="8" t="str">
        <f t="shared" si="17"/>
        <v>1880</v>
      </c>
      <c r="F384" s="4" t="str">
        <f t="shared" si="18"/>
        <v>OB2_1880</v>
      </c>
      <c r="G384">
        <v>2000</v>
      </c>
      <c r="H384">
        <v>2000</v>
      </c>
      <c r="I384" s="14">
        <v>1</v>
      </c>
    </row>
    <row r="385" spans="1:9" x14ac:dyDescent="0.2">
      <c r="A385" s="17">
        <v>44071</v>
      </c>
      <c r="B385" s="8" t="s">
        <v>5</v>
      </c>
      <c r="C385" t="s">
        <v>167</v>
      </c>
      <c r="D385" s="8" t="str">
        <f t="shared" si="16"/>
        <v>OB5</v>
      </c>
      <c r="E385" s="8" t="str">
        <f t="shared" si="17"/>
        <v>1650</v>
      </c>
      <c r="F385" s="4" t="str">
        <f t="shared" si="18"/>
        <v>OB5_1650</v>
      </c>
      <c r="G385">
        <v>2000</v>
      </c>
      <c r="H385">
        <v>2000</v>
      </c>
      <c r="I385" s="14">
        <v>1</v>
      </c>
    </row>
    <row r="386" spans="1:9" x14ac:dyDescent="0.2">
      <c r="A386" s="17">
        <v>44071</v>
      </c>
      <c r="B386" s="8" t="s">
        <v>5</v>
      </c>
      <c r="C386" t="s">
        <v>172</v>
      </c>
      <c r="D386" s="8" t="str">
        <f t="shared" si="16"/>
        <v>OB5</v>
      </c>
      <c r="E386" s="8" t="str">
        <f t="shared" si="17"/>
        <v>1640</v>
      </c>
      <c r="F386" s="4" t="str">
        <f t="shared" si="18"/>
        <v>OB5_1640</v>
      </c>
      <c r="G386">
        <v>2000</v>
      </c>
      <c r="H386">
        <v>1450</v>
      </c>
      <c r="I386" s="14">
        <v>0.72499999999999998</v>
      </c>
    </row>
    <row r="387" spans="1:9" x14ac:dyDescent="0.2">
      <c r="A387" s="17">
        <v>44071</v>
      </c>
      <c r="B387" s="8" t="s">
        <v>5</v>
      </c>
      <c r="C387" t="s">
        <v>139</v>
      </c>
      <c r="D387" s="8" t="str">
        <f t="shared" si="16"/>
        <v>OB1</v>
      </c>
      <c r="E387" s="8" t="str">
        <f t="shared" si="17"/>
        <v>1620</v>
      </c>
      <c r="F387" s="4" t="str">
        <f t="shared" si="18"/>
        <v>OB1_1620</v>
      </c>
      <c r="G387">
        <v>1000</v>
      </c>
      <c r="H387">
        <v>1000</v>
      </c>
      <c r="I387" s="14">
        <v>1</v>
      </c>
    </row>
    <row r="388" spans="1:9" x14ac:dyDescent="0.2">
      <c r="A388" s="17">
        <v>44072</v>
      </c>
      <c r="B388" s="8" t="s">
        <v>4</v>
      </c>
      <c r="C388" t="s">
        <v>165</v>
      </c>
      <c r="D388" s="8" t="str">
        <f t="shared" si="16"/>
        <v>OB2</v>
      </c>
      <c r="E388" s="8" t="str">
        <f t="shared" si="17"/>
        <v>1880</v>
      </c>
      <c r="F388" s="4" t="str">
        <f t="shared" si="18"/>
        <v>OB2_1880</v>
      </c>
      <c r="G388">
        <v>1500</v>
      </c>
      <c r="H388">
        <v>800</v>
      </c>
      <c r="I388" s="14">
        <v>0.53333333333333333</v>
      </c>
    </row>
    <row r="389" spans="1:9" x14ac:dyDescent="0.2">
      <c r="A389" s="17">
        <v>44072</v>
      </c>
      <c r="B389" s="8" t="s">
        <v>4</v>
      </c>
      <c r="C389" t="s">
        <v>184</v>
      </c>
      <c r="D389" s="8" t="str">
        <f t="shared" ref="D389:D427" si="19">MID(C389,FIND("OB",C389),3)</f>
        <v>OB2</v>
      </c>
      <c r="E389" s="8" t="str">
        <f t="shared" ref="E389:E427" si="20">MID(C389,FIND("_",C389)+1,4)</f>
        <v>1880</v>
      </c>
      <c r="F389" s="4" t="str">
        <f t="shared" ref="F389:F427" si="21">_xlfn.CONCAT(D389,"_",E389)</f>
        <v>OB2_1880</v>
      </c>
      <c r="G389">
        <v>2000</v>
      </c>
      <c r="H389">
        <v>2440</v>
      </c>
      <c r="I389" s="14">
        <v>1.22</v>
      </c>
    </row>
    <row r="390" spans="1:9" x14ac:dyDescent="0.2">
      <c r="A390" s="17">
        <v>44072</v>
      </c>
      <c r="B390" s="8" t="s">
        <v>4</v>
      </c>
      <c r="C390" t="s">
        <v>167</v>
      </c>
      <c r="D390" s="8" t="str">
        <f t="shared" si="19"/>
        <v>OB5</v>
      </c>
      <c r="E390" s="8" t="str">
        <f t="shared" si="20"/>
        <v>1650</v>
      </c>
      <c r="F390" s="4" t="str">
        <f t="shared" si="21"/>
        <v>OB5_1650</v>
      </c>
      <c r="G390">
        <v>2700</v>
      </c>
      <c r="H390">
        <v>2200</v>
      </c>
      <c r="I390" s="14">
        <v>0.81481481481481477</v>
      </c>
    </row>
    <row r="391" spans="1:9" x14ac:dyDescent="0.2">
      <c r="A391" s="17">
        <v>44072</v>
      </c>
      <c r="B391" s="8" t="s">
        <v>4</v>
      </c>
      <c r="C391" t="s">
        <v>172</v>
      </c>
      <c r="D391" s="8" t="str">
        <f t="shared" si="19"/>
        <v>OB5</v>
      </c>
      <c r="E391" s="8" t="str">
        <f t="shared" si="20"/>
        <v>1640</v>
      </c>
      <c r="F391" s="4" t="str">
        <f t="shared" si="21"/>
        <v>OB5_1640</v>
      </c>
      <c r="G391">
        <v>1000</v>
      </c>
      <c r="H391">
        <v>1920</v>
      </c>
      <c r="I391" s="14">
        <v>1.92</v>
      </c>
    </row>
    <row r="392" spans="1:9" x14ac:dyDescent="0.2">
      <c r="A392" s="17">
        <v>44072</v>
      </c>
      <c r="B392" s="8" t="s">
        <v>4</v>
      </c>
      <c r="C392" t="s">
        <v>76</v>
      </c>
      <c r="D392" s="8" t="str">
        <f t="shared" si="19"/>
        <v>OB1</v>
      </c>
      <c r="E392" s="8" t="str">
        <f t="shared" si="20"/>
        <v>1620</v>
      </c>
      <c r="F392" s="4" t="str">
        <f t="shared" si="21"/>
        <v>OB1_1620</v>
      </c>
      <c r="G392">
        <v>1500</v>
      </c>
      <c r="H392">
        <v>0</v>
      </c>
      <c r="I392" s="14">
        <v>0</v>
      </c>
    </row>
    <row r="393" spans="1:9" x14ac:dyDescent="0.2">
      <c r="A393" s="17">
        <v>44072</v>
      </c>
      <c r="B393" s="8" t="s">
        <v>4</v>
      </c>
      <c r="C393" t="s">
        <v>139</v>
      </c>
      <c r="D393" s="8" t="str">
        <f t="shared" si="19"/>
        <v>OB1</v>
      </c>
      <c r="E393" s="8" t="str">
        <f t="shared" si="20"/>
        <v>1620</v>
      </c>
      <c r="F393" s="4" t="str">
        <f t="shared" si="21"/>
        <v>OB1_1620</v>
      </c>
      <c r="G393">
        <v>1000</v>
      </c>
      <c r="H393">
        <v>1550</v>
      </c>
      <c r="I393" s="14">
        <v>1.55</v>
      </c>
    </row>
    <row r="394" spans="1:9" x14ac:dyDescent="0.2">
      <c r="A394" s="17">
        <v>44072</v>
      </c>
      <c r="B394" s="8" t="s">
        <v>5</v>
      </c>
      <c r="C394" t="s">
        <v>183</v>
      </c>
      <c r="D394" s="8" t="str">
        <f t="shared" si="19"/>
        <v>OB6</v>
      </c>
      <c r="E394" s="8" t="str">
        <f t="shared" si="20"/>
        <v>1910</v>
      </c>
      <c r="F394" s="4" t="str">
        <f t="shared" si="21"/>
        <v>OB6_1910</v>
      </c>
      <c r="G394">
        <v>2000</v>
      </c>
      <c r="H394">
        <v>2360</v>
      </c>
      <c r="I394" s="14">
        <v>1.18</v>
      </c>
    </row>
    <row r="395" spans="1:9" x14ac:dyDescent="0.2">
      <c r="A395" s="17">
        <v>44072</v>
      </c>
      <c r="B395" s="8" t="s">
        <v>5</v>
      </c>
      <c r="C395" t="s">
        <v>165</v>
      </c>
      <c r="D395" s="8" t="str">
        <f t="shared" si="19"/>
        <v>OB2</v>
      </c>
      <c r="E395" s="8" t="str">
        <f t="shared" si="20"/>
        <v>1880</v>
      </c>
      <c r="F395" s="4" t="str">
        <f t="shared" si="21"/>
        <v>OB2_1880</v>
      </c>
      <c r="G395">
        <v>1500</v>
      </c>
      <c r="H395">
        <v>0</v>
      </c>
      <c r="I395" s="14">
        <v>0</v>
      </c>
    </row>
    <row r="396" spans="1:9" x14ac:dyDescent="0.2">
      <c r="A396" s="17">
        <v>44072</v>
      </c>
      <c r="B396" s="8" t="s">
        <v>5</v>
      </c>
      <c r="C396" t="s">
        <v>184</v>
      </c>
      <c r="D396" s="8" t="str">
        <f t="shared" si="19"/>
        <v>OB2</v>
      </c>
      <c r="E396" s="8" t="str">
        <f t="shared" si="20"/>
        <v>1880</v>
      </c>
      <c r="F396" s="4" t="str">
        <f t="shared" si="21"/>
        <v>OB2_1880</v>
      </c>
      <c r="G396">
        <v>1500</v>
      </c>
      <c r="H396">
        <v>2520</v>
      </c>
      <c r="I396" s="14">
        <v>1.68</v>
      </c>
    </row>
    <row r="397" spans="1:9" x14ac:dyDescent="0.2">
      <c r="A397" s="17">
        <v>44072</v>
      </c>
      <c r="B397" s="8" t="s">
        <v>5</v>
      </c>
      <c r="C397" t="s">
        <v>186</v>
      </c>
      <c r="D397" s="8" t="str">
        <f t="shared" si="19"/>
        <v>OB6</v>
      </c>
      <c r="E397" s="8" t="str">
        <f t="shared" si="20"/>
        <v>1820</v>
      </c>
      <c r="F397" s="4" t="str">
        <f t="shared" si="21"/>
        <v>OB6_1820</v>
      </c>
      <c r="G397">
        <v>400</v>
      </c>
      <c r="H397">
        <v>0</v>
      </c>
      <c r="I397" s="14">
        <v>0</v>
      </c>
    </row>
    <row r="398" spans="1:9" x14ac:dyDescent="0.2">
      <c r="A398" s="17">
        <v>44072</v>
      </c>
      <c r="B398" s="8" t="s">
        <v>5</v>
      </c>
      <c r="C398" t="s">
        <v>158</v>
      </c>
      <c r="D398" s="8" t="str">
        <f t="shared" si="19"/>
        <v>OB5</v>
      </c>
      <c r="E398" s="8" t="str">
        <f t="shared" si="20"/>
        <v>1710</v>
      </c>
      <c r="F398" s="4" t="str">
        <f t="shared" si="21"/>
        <v>OB5_1710</v>
      </c>
      <c r="G398">
        <v>600</v>
      </c>
      <c r="H398">
        <v>1575</v>
      </c>
      <c r="I398" s="14">
        <v>2.625</v>
      </c>
    </row>
    <row r="399" spans="1:9" x14ac:dyDescent="0.2">
      <c r="A399" s="17">
        <v>44072</v>
      </c>
      <c r="B399" s="8" t="s">
        <v>5</v>
      </c>
      <c r="C399" t="s">
        <v>167</v>
      </c>
      <c r="D399" s="8" t="str">
        <f t="shared" si="19"/>
        <v>OB5</v>
      </c>
      <c r="E399" s="8" t="str">
        <f t="shared" si="20"/>
        <v>1650</v>
      </c>
      <c r="F399" s="4" t="str">
        <f t="shared" si="21"/>
        <v>OB5_1650</v>
      </c>
      <c r="G399">
        <v>2500</v>
      </c>
      <c r="H399">
        <v>3045</v>
      </c>
      <c r="I399" s="14">
        <v>1.218</v>
      </c>
    </row>
    <row r="400" spans="1:9" x14ac:dyDescent="0.2">
      <c r="A400" s="17">
        <v>44072</v>
      </c>
      <c r="B400" s="8" t="s">
        <v>5</v>
      </c>
      <c r="C400" t="s">
        <v>139</v>
      </c>
      <c r="D400" s="8" t="str">
        <f t="shared" si="19"/>
        <v>OB1</v>
      </c>
      <c r="E400" s="8" t="str">
        <f t="shared" si="20"/>
        <v>1620</v>
      </c>
      <c r="F400" s="4" t="str">
        <f t="shared" si="21"/>
        <v>OB1_1620</v>
      </c>
      <c r="G400">
        <v>1500</v>
      </c>
      <c r="H400">
        <v>1200</v>
      </c>
      <c r="I400" s="14">
        <v>0.8</v>
      </c>
    </row>
    <row r="401" spans="1:9" x14ac:dyDescent="0.2">
      <c r="A401" s="17">
        <v>44073</v>
      </c>
      <c r="B401" s="8" t="s">
        <v>4</v>
      </c>
      <c r="C401" t="s">
        <v>165</v>
      </c>
      <c r="D401" s="8" t="str">
        <f t="shared" si="19"/>
        <v>OB2</v>
      </c>
      <c r="E401" s="8" t="str">
        <f t="shared" si="20"/>
        <v>1880</v>
      </c>
      <c r="F401" s="4" t="str">
        <f t="shared" si="21"/>
        <v>OB2_1880</v>
      </c>
      <c r="G401">
        <v>1500</v>
      </c>
      <c r="H401">
        <v>800</v>
      </c>
      <c r="I401" s="14">
        <v>0.53333333333333333</v>
      </c>
    </row>
    <row r="402" spans="1:9" x14ac:dyDescent="0.2">
      <c r="A402" s="17">
        <v>44073</v>
      </c>
      <c r="B402" s="8" t="s">
        <v>4</v>
      </c>
      <c r="C402" t="s">
        <v>184</v>
      </c>
      <c r="D402" s="8" t="str">
        <f t="shared" si="19"/>
        <v>OB2</v>
      </c>
      <c r="E402" s="8" t="str">
        <f t="shared" si="20"/>
        <v>1880</v>
      </c>
      <c r="F402" s="4" t="str">
        <f t="shared" si="21"/>
        <v>OB2_1880</v>
      </c>
      <c r="G402">
        <v>2000</v>
      </c>
      <c r="H402">
        <v>3080</v>
      </c>
      <c r="I402" s="14">
        <v>1.54</v>
      </c>
    </row>
    <row r="403" spans="1:9" x14ac:dyDescent="0.2">
      <c r="A403" s="17">
        <v>44073</v>
      </c>
      <c r="B403" s="8" t="s">
        <v>4</v>
      </c>
      <c r="C403" t="s">
        <v>158</v>
      </c>
      <c r="D403" s="8" t="str">
        <f t="shared" si="19"/>
        <v>OB5</v>
      </c>
      <c r="E403" s="8" t="str">
        <f t="shared" si="20"/>
        <v>1710</v>
      </c>
      <c r="F403" s="4" t="str">
        <f t="shared" si="21"/>
        <v>OB5_1710</v>
      </c>
      <c r="G403">
        <v>1000</v>
      </c>
      <c r="H403">
        <v>1000</v>
      </c>
      <c r="I403" s="14">
        <v>1</v>
      </c>
    </row>
    <row r="404" spans="1:9" x14ac:dyDescent="0.2">
      <c r="A404" s="17">
        <v>44073</v>
      </c>
      <c r="B404" s="8" t="s">
        <v>4</v>
      </c>
      <c r="C404" t="s">
        <v>167</v>
      </c>
      <c r="D404" s="8" t="str">
        <f t="shared" si="19"/>
        <v>OB5</v>
      </c>
      <c r="E404" s="8" t="str">
        <f t="shared" si="20"/>
        <v>1650</v>
      </c>
      <c r="F404" s="4" t="str">
        <f t="shared" si="21"/>
        <v>OB5_1650</v>
      </c>
      <c r="G404">
        <v>3000</v>
      </c>
      <c r="H404">
        <v>2640</v>
      </c>
      <c r="I404" s="14">
        <v>0.88</v>
      </c>
    </row>
    <row r="405" spans="1:9" x14ac:dyDescent="0.2">
      <c r="A405" s="17">
        <v>44073</v>
      </c>
      <c r="B405" s="8" t="s">
        <v>4</v>
      </c>
      <c r="C405" t="s">
        <v>76</v>
      </c>
      <c r="D405" s="8" t="str">
        <f t="shared" si="19"/>
        <v>OB1</v>
      </c>
      <c r="E405" s="8" t="str">
        <f t="shared" si="20"/>
        <v>1620</v>
      </c>
      <c r="F405" s="4" t="str">
        <f t="shared" si="21"/>
        <v>OB1_1620</v>
      </c>
      <c r="G405">
        <v>1500</v>
      </c>
      <c r="H405">
        <v>320</v>
      </c>
      <c r="I405" s="14">
        <v>0.21333333333333335</v>
      </c>
    </row>
    <row r="406" spans="1:9" x14ac:dyDescent="0.2">
      <c r="A406" s="17">
        <v>44073</v>
      </c>
      <c r="B406" s="8" t="s">
        <v>4</v>
      </c>
      <c r="C406" t="s">
        <v>139</v>
      </c>
      <c r="D406" s="8" t="str">
        <f t="shared" si="19"/>
        <v>OB1</v>
      </c>
      <c r="E406" s="8" t="str">
        <f t="shared" si="20"/>
        <v>1620</v>
      </c>
      <c r="F406" s="4" t="str">
        <f t="shared" si="21"/>
        <v>OB1_1620</v>
      </c>
      <c r="G406">
        <v>1000</v>
      </c>
      <c r="H406">
        <v>1240</v>
      </c>
      <c r="I406" s="14">
        <v>1.24</v>
      </c>
    </row>
    <row r="407" spans="1:9" x14ac:dyDescent="0.2">
      <c r="A407" s="17">
        <v>44073</v>
      </c>
      <c r="B407" s="8" t="s">
        <v>5</v>
      </c>
      <c r="C407" t="s">
        <v>183</v>
      </c>
      <c r="D407" s="8" t="str">
        <f t="shared" si="19"/>
        <v>OB6</v>
      </c>
      <c r="E407" s="8" t="str">
        <f t="shared" si="20"/>
        <v>1910</v>
      </c>
      <c r="F407" s="4" t="str">
        <f t="shared" si="21"/>
        <v>OB6_1910</v>
      </c>
      <c r="G407">
        <v>2500</v>
      </c>
      <c r="H407">
        <v>2560</v>
      </c>
      <c r="I407" s="14">
        <v>1.024</v>
      </c>
    </row>
    <row r="408" spans="1:9" x14ac:dyDescent="0.2">
      <c r="A408" s="17">
        <v>44073</v>
      </c>
      <c r="B408" s="8" t="s">
        <v>5</v>
      </c>
      <c r="C408" t="s">
        <v>187</v>
      </c>
      <c r="D408" s="8" t="str">
        <f t="shared" si="19"/>
        <v>OB6</v>
      </c>
      <c r="E408" s="8" t="str">
        <f t="shared" si="20"/>
        <v>1910</v>
      </c>
      <c r="F408" s="4" t="str">
        <f t="shared" si="21"/>
        <v>OB6_1910</v>
      </c>
      <c r="G408">
        <v>500</v>
      </c>
      <c r="H408">
        <v>1200</v>
      </c>
      <c r="I408" s="14">
        <v>2.4</v>
      </c>
    </row>
    <row r="409" spans="1:9" x14ac:dyDescent="0.2">
      <c r="A409" s="17">
        <v>44073</v>
      </c>
      <c r="B409" s="8" t="s">
        <v>5</v>
      </c>
      <c r="C409" t="s">
        <v>184</v>
      </c>
      <c r="D409" s="8" t="str">
        <f t="shared" si="19"/>
        <v>OB2</v>
      </c>
      <c r="E409" s="8" t="str">
        <f t="shared" si="20"/>
        <v>1880</v>
      </c>
      <c r="F409" s="4" t="str">
        <f t="shared" si="21"/>
        <v>OB2_1880</v>
      </c>
      <c r="G409">
        <v>1000</v>
      </c>
      <c r="H409">
        <v>1120</v>
      </c>
      <c r="I409" s="14">
        <v>1.1200000000000001</v>
      </c>
    </row>
    <row r="410" spans="1:9" x14ac:dyDescent="0.2">
      <c r="A410" s="17">
        <v>44073</v>
      </c>
      <c r="B410" s="8" t="s">
        <v>5</v>
      </c>
      <c r="C410" t="s">
        <v>188</v>
      </c>
      <c r="D410" s="8" t="str">
        <f t="shared" si="19"/>
        <v>OB6</v>
      </c>
      <c r="E410" s="8" t="str">
        <f t="shared" si="20"/>
        <v>1820</v>
      </c>
      <c r="F410" s="4" t="str">
        <f t="shared" si="21"/>
        <v>OB6_1820</v>
      </c>
      <c r="G410">
        <v>400</v>
      </c>
      <c r="H410">
        <v>1200</v>
      </c>
      <c r="I410" s="14">
        <v>3</v>
      </c>
    </row>
    <row r="411" spans="1:9" x14ac:dyDescent="0.2">
      <c r="A411" s="17">
        <v>44073</v>
      </c>
      <c r="B411" s="8" t="s">
        <v>5</v>
      </c>
      <c r="C411" t="s">
        <v>167</v>
      </c>
      <c r="D411" s="8" t="str">
        <f t="shared" si="19"/>
        <v>OB5</v>
      </c>
      <c r="E411" s="8" t="str">
        <f t="shared" si="20"/>
        <v>1650</v>
      </c>
      <c r="F411" s="4" t="str">
        <f t="shared" si="21"/>
        <v>OB5_1650</v>
      </c>
      <c r="G411">
        <v>2500</v>
      </c>
      <c r="H411">
        <v>2440</v>
      </c>
      <c r="I411" s="14">
        <v>0.97599999999999998</v>
      </c>
    </row>
    <row r="412" spans="1:9" x14ac:dyDescent="0.2">
      <c r="A412" s="17">
        <v>44073</v>
      </c>
      <c r="B412" s="8" t="s">
        <v>5</v>
      </c>
      <c r="C412" t="s">
        <v>189</v>
      </c>
      <c r="D412" s="8" t="str">
        <f t="shared" si="19"/>
        <v>OB6</v>
      </c>
      <c r="E412" s="8" t="str">
        <f t="shared" si="20"/>
        <v>1640</v>
      </c>
      <c r="F412" s="4" t="str">
        <f t="shared" si="21"/>
        <v>OB6_1640</v>
      </c>
      <c r="G412">
        <v>1500</v>
      </c>
      <c r="H412">
        <v>2155</v>
      </c>
      <c r="I412" s="14">
        <v>1.4366666666666668</v>
      </c>
    </row>
    <row r="413" spans="1:9" x14ac:dyDescent="0.2">
      <c r="A413" s="17">
        <v>44073</v>
      </c>
      <c r="B413" s="8" t="s">
        <v>5</v>
      </c>
      <c r="C413" t="s">
        <v>139</v>
      </c>
      <c r="D413" s="8" t="str">
        <f t="shared" si="19"/>
        <v>OB1</v>
      </c>
      <c r="E413" s="8" t="str">
        <f t="shared" si="20"/>
        <v>1620</v>
      </c>
      <c r="F413" s="4" t="str">
        <f t="shared" si="21"/>
        <v>OB1_1620</v>
      </c>
      <c r="G413">
        <v>1500</v>
      </c>
      <c r="H413">
        <v>1480</v>
      </c>
      <c r="I413" s="14">
        <v>0.98666666666666669</v>
      </c>
    </row>
    <row r="414" spans="1:9" x14ac:dyDescent="0.2">
      <c r="A414" s="17">
        <v>44073</v>
      </c>
      <c r="B414" s="8" t="s">
        <v>5</v>
      </c>
      <c r="C414" t="s">
        <v>190</v>
      </c>
      <c r="D414" s="8" t="str">
        <f t="shared" si="19"/>
        <v>OB5</v>
      </c>
      <c r="E414" s="8" t="str">
        <f t="shared" si="20"/>
        <v>1680</v>
      </c>
      <c r="F414" s="4" t="str">
        <f t="shared" si="21"/>
        <v>OB5_1680</v>
      </c>
      <c r="G414">
        <v>200</v>
      </c>
      <c r="H414">
        <v>0</v>
      </c>
      <c r="I414" s="14">
        <v>0</v>
      </c>
    </row>
    <row r="415" spans="1:9" x14ac:dyDescent="0.2">
      <c r="A415" s="17">
        <v>44074</v>
      </c>
      <c r="B415" s="8" t="s">
        <v>4</v>
      </c>
      <c r="C415" t="s">
        <v>183</v>
      </c>
      <c r="D415" s="8" t="str">
        <f t="shared" si="19"/>
        <v>OB6</v>
      </c>
      <c r="E415" s="8" t="str">
        <f t="shared" si="20"/>
        <v>1910</v>
      </c>
      <c r="F415" s="4" t="str">
        <f t="shared" si="21"/>
        <v>OB6_1910</v>
      </c>
      <c r="G415">
        <v>3200</v>
      </c>
      <c r="H415">
        <v>3240</v>
      </c>
      <c r="I415" s="14">
        <v>1.0125</v>
      </c>
    </row>
    <row r="416" spans="1:9" x14ac:dyDescent="0.2">
      <c r="A416" s="17">
        <v>44074</v>
      </c>
      <c r="B416" s="8" t="s">
        <v>4</v>
      </c>
      <c r="C416" t="s">
        <v>184</v>
      </c>
      <c r="D416" s="8" t="str">
        <f t="shared" si="19"/>
        <v>OB2</v>
      </c>
      <c r="E416" s="8" t="str">
        <f t="shared" si="20"/>
        <v>1880</v>
      </c>
      <c r="F416" s="4" t="str">
        <f t="shared" si="21"/>
        <v>OB2_1880</v>
      </c>
      <c r="G416">
        <v>1000</v>
      </c>
      <c r="H416">
        <v>960</v>
      </c>
      <c r="I416" s="14">
        <v>0.96</v>
      </c>
    </row>
    <row r="417" spans="1:9" x14ac:dyDescent="0.2">
      <c r="A417" s="17">
        <v>44074</v>
      </c>
      <c r="B417" s="8" t="s">
        <v>4</v>
      </c>
      <c r="C417" t="s">
        <v>167</v>
      </c>
      <c r="D417" s="8" t="str">
        <f t="shared" si="19"/>
        <v>OB5</v>
      </c>
      <c r="E417" s="8" t="str">
        <f t="shared" si="20"/>
        <v>1650</v>
      </c>
      <c r="F417" s="4" t="str">
        <f t="shared" si="21"/>
        <v>OB5_1650</v>
      </c>
      <c r="G417">
        <v>2500</v>
      </c>
      <c r="H417">
        <v>2685</v>
      </c>
      <c r="I417" s="14">
        <v>1.0740000000000001</v>
      </c>
    </row>
    <row r="418" spans="1:9" x14ac:dyDescent="0.2">
      <c r="A418" s="17">
        <v>44074</v>
      </c>
      <c r="B418" s="8" t="s">
        <v>4</v>
      </c>
      <c r="C418" t="s">
        <v>172</v>
      </c>
      <c r="D418" s="8" t="str">
        <f t="shared" si="19"/>
        <v>OB5</v>
      </c>
      <c r="E418" s="8" t="str">
        <f t="shared" si="20"/>
        <v>1640</v>
      </c>
      <c r="F418" s="4" t="str">
        <f t="shared" si="21"/>
        <v>OB5_1640</v>
      </c>
      <c r="G418">
        <v>1000</v>
      </c>
      <c r="H418">
        <v>400</v>
      </c>
      <c r="I418" s="14">
        <v>0.4</v>
      </c>
    </row>
    <row r="419" spans="1:9" x14ac:dyDescent="0.2">
      <c r="A419" s="17">
        <v>44074</v>
      </c>
      <c r="B419" s="8" t="s">
        <v>4</v>
      </c>
      <c r="C419" t="s">
        <v>189</v>
      </c>
      <c r="D419" s="8" t="str">
        <f t="shared" si="19"/>
        <v>OB6</v>
      </c>
      <c r="E419" s="8" t="str">
        <f t="shared" si="20"/>
        <v>1640</v>
      </c>
      <c r="F419" s="4" t="str">
        <f t="shared" si="21"/>
        <v>OB6_1640</v>
      </c>
      <c r="G419">
        <v>1000</v>
      </c>
      <c r="H419">
        <v>1200</v>
      </c>
      <c r="I419" s="14">
        <v>1.2</v>
      </c>
    </row>
    <row r="420" spans="1:9" x14ac:dyDescent="0.2">
      <c r="A420" s="17">
        <v>44074</v>
      </c>
      <c r="B420" s="8" t="s">
        <v>4</v>
      </c>
      <c r="C420" t="s">
        <v>76</v>
      </c>
      <c r="D420" s="8" t="str">
        <f t="shared" si="19"/>
        <v>OB1</v>
      </c>
      <c r="E420" s="8" t="str">
        <f t="shared" si="20"/>
        <v>1620</v>
      </c>
      <c r="F420" s="4" t="str">
        <f t="shared" si="21"/>
        <v>OB1_1620</v>
      </c>
      <c r="G420">
        <v>500</v>
      </c>
      <c r="H420">
        <v>560</v>
      </c>
      <c r="I420" s="14">
        <v>1.1200000000000001</v>
      </c>
    </row>
    <row r="421" spans="1:9" x14ac:dyDescent="0.2">
      <c r="A421" s="17">
        <v>44074</v>
      </c>
      <c r="B421" s="8" t="s">
        <v>4</v>
      </c>
      <c r="C421" t="s">
        <v>191</v>
      </c>
      <c r="D421" s="8" t="str">
        <f t="shared" si="19"/>
        <v>OB6</v>
      </c>
      <c r="E421" s="8" t="str">
        <f t="shared" si="20"/>
        <v>1600</v>
      </c>
      <c r="F421" s="4" t="str">
        <f t="shared" si="21"/>
        <v>OB6_1600</v>
      </c>
      <c r="G421">
        <v>300</v>
      </c>
      <c r="H421">
        <v>105</v>
      </c>
      <c r="I421" s="14">
        <v>0.35</v>
      </c>
    </row>
    <row r="422" spans="1:9" x14ac:dyDescent="0.2">
      <c r="A422" s="17">
        <v>44074</v>
      </c>
      <c r="B422" s="8" t="s">
        <v>5</v>
      </c>
      <c r="C422" t="s">
        <v>183</v>
      </c>
      <c r="D422" s="8" t="str">
        <f t="shared" si="19"/>
        <v>OB6</v>
      </c>
      <c r="E422" s="8" t="str">
        <f t="shared" si="20"/>
        <v>1910</v>
      </c>
      <c r="F422" s="4" t="str">
        <f t="shared" si="21"/>
        <v>OB6_1910</v>
      </c>
      <c r="G422">
        <v>3000</v>
      </c>
      <c r="H422">
        <v>3440</v>
      </c>
      <c r="I422" s="14">
        <v>1.1466666666666667</v>
      </c>
    </row>
    <row r="423" spans="1:9" x14ac:dyDescent="0.2">
      <c r="A423" s="17">
        <v>44074</v>
      </c>
      <c r="B423" s="8" t="s">
        <v>5</v>
      </c>
      <c r="C423" t="s">
        <v>187</v>
      </c>
      <c r="D423" s="8" t="str">
        <f t="shared" si="19"/>
        <v>OB6</v>
      </c>
      <c r="E423" s="8" t="str">
        <f t="shared" si="20"/>
        <v>1910</v>
      </c>
      <c r="F423" s="4" t="str">
        <f t="shared" si="21"/>
        <v>OB6_1910</v>
      </c>
      <c r="G423">
        <v>1500</v>
      </c>
      <c r="H423">
        <v>880</v>
      </c>
      <c r="I423" s="14">
        <v>0.58666666666666667</v>
      </c>
    </row>
    <row r="424" spans="1:9" x14ac:dyDescent="0.2">
      <c r="A424" s="17">
        <v>44074</v>
      </c>
      <c r="B424" s="8" t="s">
        <v>5</v>
      </c>
      <c r="C424" t="s">
        <v>165</v>
      </c>
      <c r="D424" s="8" t="str">
        <f t="shared" si="19"/>
        <v>OB2</v>
      </c>
      <c r="E424" s="8" t="str">
        <f t="shared" si="20"/>
        <v>1880</v>
      </c>
      <c r="F424" s="4" t="str">
        <f t="shared" si="21"/>
        <v>OB2_1880</v>
      </c>
      <c r="G424">
        <v>2700</v>
      </c>
      <c r="H424">
        <v>3120</v>
      </c>
      <c r="I424" s="14">
        <v>1.1555555555555554</v>
      </c>
    </row>
    <row r="425" spans="1:9" x14ac:dyDescent="0.2">
      <c r="A425" s="17">
        <v>44074</v>
      </c>
      <c r="B425" s="8" t="s">
        <v>5</v>
      </c>
      <c r="C425" t="s">
        <v>167</v>
      </c>
      <c r="D425" s="8" t="str">
        <f t="shared" si="19"/>
        <v>OB5</v>
      </c>
      <c r="E425" s="8" t="str">
        <f t="shared" si="20"/>
        <v>1650</v>
      </c>
      <c r="F425" s="4" t="str">
        <f t="shared" si="21"/>
        <v>OB5_1650</v>
      </c>
      <c r="G425">
        <v>2000</v>
      </c>
      <c r="H425">
        <v>2120</v>
      </c>
      <c r="I425" s="14">
        <v>1.06</v>
      </c>
    </row>
    <row r="426" spans="1:9" x14ac:dyDescent="0.2">
      <c r="A426" s="17">
        <v>44074</v>
      </c>
      <c r="B426" s="8" t="s">
        <v>5</v>
      </c>
      <c r="C426" t="s">
        <v>192</v>
      </c>
      <c r="D426" s="8" t="str">
        <f t="shared" si="19"/>
        <v>OB6</v>
      </c>
      <c r="E426" s="8" t="str">
        <f t="shared" si="20"/>
        <v>1650</v>
      </c>
      <c r="F426" s="4" t="str">
        <f t="shared" si="21"/>
        <v>OB6_1650</v>
      </c>
      <c r="G426">
        <v>400</v>
      </c>
      <c r="H426">
        <v>420</v>
      </c>
      <c r="I426" s="14">
        <v>1.05</v>
      </c>
    </row>
    <row r="427" spans="1:9" x14ac:dyDescent="0.2">
      <c r="A427" s="17">
        <v>44074</v>
      </c>
      <c r="B427" s="8" t="s">
        <v>5</v>
      </c>
      <c r="C427" t="s">
        <v>138</v>
      </c>
      <c r="D427" s="8" t="str">
        <f t="shared" si="19"/>
        <v>OB1</v>
      </c>
      <c r="E427" s="8" t="str">
        <f t="shared" si="20"/>
        <v>1550</v>
      </c>
      <c r="F427" s="4" t="str">
        <f t="shared" si="21"/>
        <v>OB1_1550</v>
      </c>
      <c r="G427">
        <v>400</v>
      </c>
      <c r="H427">
        <v>280</v>
      </c>
      <c r="I427" s="14">
        <v>0.7</v>
      </c>
    </row>
    <row r="428" spans="1:9" s="1" customFormat="1" x14ac:dyDescent="0.2">
      <c r="A428" s="17"/>
      <c r="B428" s="8"/>
      <c r="D428" s="8"/>
      <c r="E428" s="8"/>
      <c r="F428" s="4"/>
      <c r="I428" s="14"/>
    </row>
    <row r="429" spans="1:9" s="1" customFormat="1" x14ac:dyDescent="0.2">
      <c r="A429" s="17"/>
      <c r="B429" s="8"/>
      <c r="D429" s="8"/>
      <c r="E429" s="8"/>
      <c r="F429" s="4"/>
      <c r="I429" s="14"/>
    </row>
    <row r="430" spans="1:9" s="1" customFormat="1" x14ac:dyDescent="0.2">
      <c r="A430" s="17"/>
      <c r="B430" s="12"/>
      <c r="C430" s="12"/>
      <c r="D430" s="16"/>
      <c r="E430" s="16"/>
      <c r="F430" s="17"/>
      <c r="G430" s="12"/>
      <c r="H430" s="12"/>
      <c r="I430" s="12"/>
    </row>
    <row r="431" spans="1:9" s="1" customFormat="1" x14ac:dyDescent="0.2">
      <c r="A431" s="17"/>
      <c r="B431" s="12"/>
      <c r="C431" s="12"/>
      <c r="D431" s="16"/>
      <c r="E431" s="16"/>
      <c r="F431" s="17"/>
      <c r="G431" s="12"/>
      <c r="H431" s="12"/>
      <c r="I431" s="12"/>
    </row>
    <row r="432" spans="1:9" x14ac:dyDescent="0.2">
      <c r="A432" s="17"/>
      <c r="B432" s="12"/>
      <c r="C432" s="12"/>
      <c r="D432" s="16"/>
      <c r="E432" s="16"/>
      <c r="F432" s="17"/>
      <c r="G432" s="12"/>
      <c r="H432" s="12"/>
      <c r="I432" s="12"/>
    </row>
    <row r="433" spans="1:9" x14ac:dyDescent="0.2">
      <c r="A433" s="17"/>
      <c r="B433" s="12"/>
      <c r="C433" s="12"/>
      <c r="D433" s="16"/>
      <c r="E433" s="16"/>
      <c r="F433" s="17"/>
      <c r="G433" s="12"/>
      <c r="H433" s="12"/>
      <c r="I433" s="12"/>
    </row>
    <row r="434" spans="1:9" x14ac:dyDescent="0.2">
      <c r="A434" s="17"/>
      <c r="B434" s="12"/>
      <c r="C434" s="12"/>
      <c r="D434" s="16"/>
      <c r="E434" s="16"/>
      <c r="F434" s="17"/>
      <c r="G434" s="12"/>
      <c r="H434" s="12"/>
      <c r="I434" s="12"/>
    </row>
    <row r="435" spans="1:9" x14ac:dyDescent="0.2">
      <c r="A435" s="17"/>
      <c r="B435" s="12"/>
      <c r="C435" s="12"/>
      <c r="D435" s="16"/>
      <c r="E435" s="16"/>
      <c r="F435" s="17"/>
      <c r="G435" s="12"/>
      <c r="H435" s="12"/>
      <c r="I435" s="12"/>
    </row>
    <row r="436" spans="1:9" x14ac:dyDescent="0.2">
      <c r="A436" s="17"/>
      <c r="B436" s="12"/>
      <c r="C436" s="12"/>
      <c r="D436" s="16"/>
      <c r="E436" s="16"/>
      <c r="F436" s="17"/>
      <c r="G436" s="12"/>
      <c r="H436" s="12"/>
      <c r="I436" s="12"/>
    </row>
    <row r="437" spans="1:9" x14ac:dyDescent="0.2">
      <c r="A437" s="17"/>
      <c r="B437" s="12"/>
      <c r="C437" s="12"/>
      <c r="D437" s="16"/>
      <c r="E437" s="16"/>
      <c r="F437" s="17"/>
      <c r="G437" s="12"/>
      <c r="H437" s="12"/>
      <c r="I437" s="12"/>
    </row>
    <row r="438" spans="1:9" x14ac:dyDescent="0.2">
      <c r="A438" s="17"/>
      <c r="B438" s="12"/>
      <c r="C438" s="12"/>
      <c r="D438" s="16"/>
      <c r="E438" s="16"/>
      <c r="F438" s="17"/>
      <c r="G438" s="12"/>
      <c r="H438" s="12"/>
      <c r="I438" s="12"/>
    </row>
    <row r="439" spans="1:9" x14ac:dyDescent="0.2">
      <c r="A439" s="17"/>
      <c r="B439" s="12"/>
      <c r="C439" s="12"/>
      <c r="D439" s="16"/>
      <c r="E439" s="16"/>
      <c r="F439" s="17"/>
      <c r="G439" s="12"/>
      <c r="H439" s="12"/>
      <c r="I439" s="12"/>
    </row>
    <row r="440" spans="1:9" x14ac:dyDescent="0.2">
      <c r="A440" s="17"/>
      <c r="B440" s="12"/>
      <c r="C440" s="12"/>
      <c r="D440" s="16"/>
      <c r="E440" s="16"/>
      <c r="F440" s="17"/>
      <c r="G440" s="12"/>
      <c r="H440" s="12"/>
      <c r="I440" s="12"/>
    </row>
    <row r="441" spans="1:9" x14ac:dyDescent="0.2">
      <c r="A441" s="17"/>
      <c r="B441" s="12"/>
      <c r="C441" s="12"/>
      <c r="D441" s="16"/>
      <c r="E441" s="16"/>
      <c r="F441" s="17"/>
      <c r="G441" s="12"/>
      <c r="H441" s="12"/>
      <c r="I441" s="12"/>
    </row>
    <row r="442" spans="1:9" x14ac:dyDescent="0.2">
      <c r="A442" s="17"/>
      <c r="B442" s="12"/>
      <c r="C442" s="12"/>
      <c r="D442" s="16"/>
      <c r="E442" s="16"/>
      <c r="F442" s="17"/>
      <c r="G442" s="12"/>
      <c r="H442" s="12"/>
      <c r="I442" s="12"/>
    </row>
    <row r="443" spans="1:9" x14ac:dyDescent="0.2">
      <c r="A443" s="17"/>
      <c r="B443" s="12"/>
      <c r="C443" s="12"/>
      <c r="D443" s="16"/>
      <c r="E443" s="16"/>
      <c r="F443" s="17"/>
      <c r="G443" s="12"/>
      <c r="H443" s="12"/>
      <c r="I443" s="12"/>
    </row>
    <row r="444" spans="1:9" x14ac:dyDescent="0.2">
      <c r="A444" s="17"/>
      <c r="B444" s="12"/>
      <c r="C444" s="12"/>
      <c r="D444" s="16"/>
      <c r="E444" s="16"/>
      <c r="F444" s="17"/>
      <c r="G444" s="12"/>
      <c r="H444" s="12"/>
      <c r="I444" s="12"/>
    </row>
    <row r="445" spans="1:9" x14ac:dyDescent="0.2">
      <c r="A445" s="17"/>
      <c r="B445" s="12"/>
      <c r="C445" s="12"/>
      <c r="D445" s="16"/>
      <c r="E445" s="16"/>
      <c r="F445" s="17"/>
      <c r="G445" s="12"/>
      <c r="H445" s="12"/>
      <c r="I445" s="12"/>
    </row>
    <row r="446" spans="1:9" x14ac:dyDescent="0.2">
      <c r="A446" s="17"/>
      <c r="B446" s="12"/>
      <c r="C446" s="12"/>
      <c r="D446" s="16"/>
      <c r="E446" s="16"/>
      <c r="F446" s="17"/>
      <c r="G446" s="12"/>
      <c r="H446" s="12"/>
      <c r="I446" s="12"/>
    </row>
    <row r="447" spans="1:9" x14ac:dyDescent="0.2">
      <c r="A447" s="17"/>
      <c r="B447" s="12"/>
      <c r="C447" s="12"/>
      <c r="D447" s="16"/>
      <c r="E447" s="16"/>
      <c r="F447" s="17"/>
      <c r="G447" s="12"/>
      <c r="H447" s="12"/>
      <c r="I447" s="12"/>
    </row>
    <row r="448" spans="1:9" x14ac:dyDescent="0.2">
      <c r="A448" s="17"/>
      <c r="B448" s="12"/>
      <c r="C448" s="12"/>
      <c r="D448" s="16"/>
      <c r="E448" s="16"/>
      <c r="F448" s="17"/>
      <c r="G448" s="12"/>
      <c r="H448" s="12"/>
      <c r="I448" s="12"/>
    </row>
    <row r="449" spans="1:9" x14ac:dyDescent="0.2">
      <c r="A449" s="17"/>
      <c r="B449" s="12"/>
      <c r="C449" s="12"/>
      <c r="D449" s="16"/>
      <c r="E449" s="16"/>
      <c r="F449" s="17"/>
      <c r="G449" s="12"/>
      <c r="H449" s="12"/>
      <c r="I449" s="12"/>
    </row>
    <row r="450" spans="1:9" x14ac:dyDescent="0.2">
      <c r="A450" s="17"/>
      <c r="B450" s="12"/>
      <c r="C450" s="12"/>
      <c r="D450" s="16"/>
      <c r="E450" s="16"/>
      <c r="F450" s="17"/>
      <c r="G450" s="12"/>
      <c r="H450" s="12"/>
      <c r="I450" s="12"/>
    </row>
    <row r="451" spans="1:9" x14ac:dyDescent="0.2">
      <c r="A451" s="17"/>
      <c r="B451" s="12"/>
      <c r="C451" s="12"/>
      <c r="D451" s="16"/>
      <c r="E451" s="16"/>
      <c r="F451" s="17"/>
      <c r="G451" s="12"/>
      <c r="H451" s="12"/>
      <c r="I451" s="12"/>
    </row>
    <row r="452" spans="1:9" x14ac:dyDescent="0.2">
      <c r="A452" s="17"/>
      <c r="B452" s="12"/>
      <c r="C452" s="12"/>
      <c r="D452" s="16"/>
      <c r="E452" s="16"/>
      <c r="F452" s="17"/>
      <c r="G452" s="12"/>
      <c r="H452" s="12"/>
      <c r="I452" s="12"/>
    </row>
    <row r="453" spans="1:9" x14ac:dyDescent="0.2">
      <c r="A453" s="17"/>
      <c r="B453" s="12"/>
      <c r="C453" s="12"/>
      <c r="D453" s="16"/>
      <c r="E453" s="16"/>
      <c r="F453" s="17"/>
      <c r="G453" s="12"/>
      <c r="H453" s="12"/>
      <c r="I453" s="12"/>
    </row>
    <row r="454" spans="1:9" x14ac:dyDescent="0.2">
      <c r="A454" s="17"/>
      <c r="B454" s="12"/>
      <c r="C454" s="12"/>
      <c r="D454" s="16"/>
      <c r="E454" s="16"/>
      <c r="F454" s="17"/>
      <c r="G454" s="12"/>
      <c r="H454" s="12"/>
      <c r="I454" s="12"/>
    </row>
    <row r="455" spans="1:9" x14ac:dyDescent="0.2">
      <c r="A455" s="17"/>
      <c r="B455" s="12"/>
      <c r="C455" s="12"/>
      <c r="D455" s="16"/>
      <c r="E455" s="16"/>
      <c r="F455" s="17"/>
      <c r="G455" s="12"/>
      <c r="H455" s="12"/>
      <c r="I455" s="12"/>
    </row>
    <row r="456" spans="1:9" x14ac:dyDescent="0.2">
      <c r="A456" s="17"/>
      <c r="B456" s="12"/>
      <c r="C456" s="12"/>
      <c r="D456" s="16"/>
      <c r="E456" s="16"/>
      <c r="F456" s="17"/>
      <c r="G456" s="12"/>
      <c r="H456" s="12"/>
      <c r="I456" s="12"/>
    </row>
    <row r="457" spans="1:9" x14ac:dyDescent="0.2">
      <c r="A457" s="17"/>
      <c r="B457" s="12"/>
      <c r="C457" s="12"/>
      <c r="D457" s="16"/>
      <c r="E457" s="16"/>
      <c r="F457" s="17"/>
      <c r="G457" s="12"/>
      <c r="H457" s="12"/>
      <c r="I457" s="12"/>
    </row>
    <row r="458" spans="1:9" x14ac:dyDescent="0.2">
      <c r="A458" s="17"/>
      <c r="B458" s="12"/>
      <c r="C458" s="12"/>
      <c r="D458" s="16"/>
      <c r="E458" s="16"/>
      <c r="F458" s="17"/>
      <c r="G458" s="12"/>
      <c r="H458" s="12"/>
      <c r="I458" s="12"/>
    </row>
    <row r="459" spans="1:9" x14ac:dyDescent="0.2">
      <c r="A459" s="17"/>
      <c r="B459" s="12"/>
      <c r="C459" s="12"/>
      <c r="D459" s="16"/>
      <c r="E459" s="16"/>
      <c r="F459" s="17"/>
      <c r="G459" s="12"/>
      <c r="H459" s="12"/>
      <c r="I459" s="12"/>
    </row>
    <row r="460" spans="1:9" x14ac:dyDescent="0.2">
      <c r="A460" s="17"/>
      <c r="B460" s="12"/>
      <c r="C460" s="12"/>
      <c r="D460" s="16"/>
      <c r="E460" s="16"/>
      <c r="F460" s="17"/>
      <c r="G460" s="12"/>
      <c r="H460" s="12"/>
      <c r="I460" s="12"/>
    </row>
    <row r="461" spans="1:9" x14ac:dyDescent="0.2">
      <c r="A461" s="17"/>
      <c r="B461" s="12"/>
      <c r="C461" s="12"/>
      <c r="D461" s="16"/>
      <c r="E461" s="16"/>
      <c r="F461" s="17"/>
      <c r="G461" s="12"/>
      <c r="H461" s="12"/>
      <c r="I461" s="12"/>
    </row>
    <row r="462" spans="1:9" x14ac:dyDescent="0.2">
      <c r="A462" s="17"/>
      <c r="B462" s="12"/>
      <c r="C462" s="12"/>
      <c r="D462" s="16"/>
      <c r="E462" s="16"/>
      <c r="F462" s="17"/>
      <c r="G462" s="12"/>
      <c r="H462" s="12"/>
      <c r="I462" s="12"/>
    </row>
    <row r="463" spans="1:9" x14ac:dyDescent="0.2">
      <c r="A463" s="17"/>
      <c r="B463" s="12"/>
      <c r="C463" s="12"/>
      <c r="D463" s="16"/>
      <c r="E463" s="16"/>
      <c r="F463" s="17"/>
      <c r="G463" s="12"/>
      <c r="H463" s="12"/>
      <c r="I463" s="12"/>
    </row>
    <row r="464" spans="1:9" x14ac:dyDescent="0.2">
      <c r="A464" s="17"/>
      <c r="B464" s="12"/>
      <c r="C464" s="12"/>
      <c r="D464" s="16"/>
      <c r="E464" s="16"/>
      <c r="F464" s="17"/>
      <c r="G464" s="12"/>
      <c r="H464" s="12"/>
      <c r="I464" s="12"/>
    </row>
    <row r="465" spans="1:9" x14ac:dyDescent="0.2">
      <c r="A465" s="17"/>
      <c r="B465" s="12"/>
      <c r="C465" s="12"/>
      <c r="D465" s="16"/>
      <c r="E465" s="16"/>
      <c r="F465" s="17"/>
      <c r="G465" s="12"/>
      <c r="H465" s="12"/>
      <c r="I465" s="12"/>
    </row>
    <row r="466" spans="1:9" x14ac:dyDescent="0.2">
      <c r="A466" s="17"/>
      <c r="B466" s="12"/>
      <c r="C466" s="12"/>
      <c r="D466" s="16"/>
      <c r="E466" s="16"/>
      <c r="F466" s="17"/>
      <c r="G466" s="12"/>
      <c r="H466" s="12"/>
      <c r="I466" s="12"/>
    </row>
    <row r="467" spans="1:9" x14ac:dyDescent="0.2">
      <c r="A467" s="17"/>
      <c r="B467" s="12"/>
      <c r="C467" s="12"/>
      <c r="D467" s="16"/>
      <c r="E467" s="16"/>
      <c r="F467" s="17"/>
      <c r="G467" s="12"/>
      <c r="H467" s="12"/>
      <c r="I467" s="12"/>
    </row>
    <row r="468" spans="1:9" x14ac:dyDescent="0.2">
      <c r="A468" s="17"/>
      <c r="B468" s="12"/>
      <c r="C468" s="12"/>
      <c r="D468" s="16"/>
      <c r="E468" s="16"/>
      <c r="F468" s="17"/>
      <c r="G468" s="12"/>
      <c r="H468" s="12"/>
      <c r="I468" s="12"/>
    </row>
    <row r="469" spans="1:9" x14ac:dyDescent="0.2">
      <c r="A469" s="17"/>
      <c r="B469" s="12"/>
      <c r="C469" s="12"/>
      <c r="D469" s="16"/>
      <c r="E469" s="16"/>
      <c r="F469" s="17"/>
      <c r="G469" s="12"/>
      <c r="H469" s="12"/>
      <c r="I469" s="12"/>
    </row>
    <row r="470" spans="1:9" x14ac:dyDescent="0.2">
      <c r="A470" s="17"/>
      <c r="B470" s="12"/>
      <c r="C470" s="12"/>
      <c r="D470" s="16"/>
      <c r="E470" s="16"/>
      <c r="F470" s="17"/>
      <c r="G470" s="12"/>
      <c r="H470" s="12"/>
      <c r="I470" s="12"/>
    </row>
    <row r="471" spans="1:9" x14ac:dyDescent="0.2">
      <c r="A471" s="17"/>
      <c r="B471" s="12"/>
      <c r="C471" s="12"/>
      <c r="D471" s="16"/>
      <c r="E471" s="16"/>
      <c r="F471" s="17"/>
      <c r="G471" s="12"/>
      <c r="H471" s="12"/>
      <c r="I471" s="12"/>
    </row>
    <row r="472" spans="1:9" x14ac:dyDescent="0.2">
      <c r="A472" s="17"/>
      <c r="B472" s="12"/>
      <c r="C472" s="12"/>
      <c r="D472" s="16"/>
      <c r="E472" s="16"/>
      <c r="F472" s="17"/>
      <c r="G472" s="12"/>
      <c r="H472" s="12"/>
      <c r="I472" s="12"/>
    </row>
    <row r="473" spans="1:9" x14ac:dyDescent="0.2">
      <c r="A473" s="17"/>
      <c r="B473" s="12"/>
      <c r="C473" s="12"/>
      <c r="D473" s="16"/>
      <c r="E473" s="16"/>
      <c r="F473" s="17"/>
      <c r="G473" s="12"/>
      <c r="H473" s="12"/>
      <c r="I473" s="12"/>
    </row>
    <row r="474" spans="1:9" x14ac:dyDescent="0.2">
      <c r="A474" s="17"/>
      <c r="B474" s="12"/>
      <c r="C474" s="12"/>
      <c r="D474" s="16"/>
      <c r="E474" s="16"/>
      <c r="F474" s="17"/>
      <c r="G474" s="12"/>
      <c r="H474" s="12"/>
      <c r="I474" s="12"/>
    </row>
    <row r="475" spans="1:9" x14ac:dyDescent="0.2">
      <c r="A475" s="17"/>
      <c r="B475" s="12"/>
      <c r="C475" s="12"/>
      <c r="D475" s="16"/>
      <c r="E475" s="16"/>
      <c r="F475" s="17"/>
      <c r="G475" s="12"/>
      <c r="H475" s="12"/>
      <c r="I475" s="12"/>
    </row>
    <row r="476" spans="1:9" x14ac:dyDescent="0.2">
      <c r="A476" s="17"/>
      <c r="B476" s="12"/>
      <c r="C476" s="12"/>
      <c r="D476" s="16"/>
      <c r="E476" s="16"/>
      <c r="F476" s="17"/>
      <c r="G476" s="12"/>
      <c r="H476" s="12"/>
      <c r="I476" s="12"/>
    </row>
    <row r="477" spans="1:9" x14ac:dyDescent="0.2">
      <c r="A477" s="17"/>
      <c r="B477" s="12"/>
      <c r="C477" s="12"/>
      <c r="D477" s="16"/>
      <c r="E477" s="16"/>
      <c r="F477" s="17"/>
      <c r="G477" s="12"/>
      <c r="H477" s="12"/>
      <c r="I477" s="12"/>
    </row>
    <row r="478" spans="1:9" x14ac:dyDescent="0.2">
      <c r="A478" s="17"/>
      <c r="B478" s="12"/>
      <c r="C478" s="12"/>
      <c r="D478" s="16"/>
      <c r="E478" s="16"/>
      <c r="F478" s="17"/>
      <c r="G478" s="12"/>
      <c r="H478" s="12"/>
      <c r="I478" s="12"/>
    </row>
    <row r="479" spans="1:9" x14ac:dyDescent="0.2">
      <c r="A479" s="17"/>
      <c r="B479" s="12"/>
      <c r="C479" s="12"/>
      <c r="D479" s="16"/>
      <c r="E479" s="16"/>
      <c r="F479" s="17"/>
      <c r="G479" s="12"/>
      <c r="H479" s="12"/>
      <c r="I479" s="12"/>
    </row>
    <row r="480" spans="1:9" x14ac:dyDescent="0.2">
      <c r="A480" s="17"/>
      <c r="B480" s="12"/>
      <c r="C480" s="12"/>
      <c r="D480" s="16"/>
      <c r="E480" s="16"/>
      <c r="F480" s="17"/>
      <c r="G480" s="12"/>
      <c r="H480" s="12"/>
      <c r="I480" s="12"/>
    </row>
    <row r="481" spans="1:9" x14ac:dyDescent="0.2">
      <c r="A481" s="17"/>
      <c r="B481" s="12"/>
      <c r="C481" s="12"/>
      <c r="D481" s="16"/>
      <c r="E481" s="16"/>
      <c r="F481" s="17"/>
      <c r="G481" s="12"/>
      <c r="H481" s="12"/>
      <c r="I481" s="12"/>
    </row>
    <row r="482" spans="1:9" x14ac:dyDescent="0.2">
      <c r="A482" s="17"/>
      <c r="B482" s="12"/>
      <c r="C482" s="12"/>
      <c r="D482" s="16"/>
      <c r="E482" s="16"/>
      <c r="F482" s="17"/>
      <c r="G482" s="12"/>
      <c r="H482" s="12"/>
      <c r="I482" s="12"/>
    </row>
    <row r="483" spans="1:9" x14ac:dyDescent="0.2">
      <c r="A483" s="17"/>
      <c r="B483" s="12"/>
      <c r="C483" s="12"/>
      <c r="D483" s="16"/>
      <c r="E483" s="16"/>
      <c r="F483" s="17"/>
      <c r="G483" s="12"/>
      <c r="H483" s="12"/>
      <c r="I483" s="12"/>
    </row>
    <row r="484" spans="1:9" x14ac:dyDescent="0.2">
      <c r="A484" s="17"/>
      <c r="B484" s="12"/>
      <c r="C484" s="12"/>
      <c r="D484" s="16"/>
      <c r="E484" s="16"/>
      <c r="F484" s="17"/>
      <c r="G484" s="12"/>
      <c r="H484" s="12"/>
      <c r="I484" s="12"/>
    </row>
    <row r="485" spans="1:9" x14ac:dyDescent="0.2">
      <c r="A485" s="17"/>
      <c r="B485" s="12"/>
      <c r="C485" s="12"/>
      <c r="D485" s="16"/>
      <c r="E485" s="16"/>
      <c r="F485" s="17"/>
      <c r="G485" s="12"/>
      <c r="H485" s="12"/>
      <c r="I485" s="12"/>
    </row>
    <row r="486" spans="1:9" x14ac:dyDescent="0.2">
      <c r="A486" s="17"/>
      <c r="B486" s="12"/>
      <c r="C486" s="12"/>
      <c r="D486" s="16"/>
      <c r="E486" s="16"/>
      <c r="F486" s="17"/>
      <c r="G486" s="12"/>
      <c r="H486" s="12"/>
      <c r="I486" s="12"/>
    </row>
    <row r="487" spans="1:9" x14ac:dyDescent="0.2">
      <c r="A487" s="17"/>
      <c r="B487" s="12"/>
      <c r="C487" s="12"/>
      <c r="D487" s="16"/>
      <c r="E487" s="16"/>
      <c r="F487" s="17"/>
      <c r="G487" s="12"/>
      <c r="H487" s="12"/>
      <c r="I487" s="12"/>
    </row>
    <row r="488" spans="1:9" x14ac:dyDescent="0.2">
      <c r="A488" s="17"/>
      <c r="B488" s="12"/>
      <c r="C488" s="12"/>
      <c r="D488" s="16"/>
      <c r="E488" s="16"/>
      <c r="F488" s="17"/>
      <c r="G488" s="12"/>
      <c r="H488" s="12"/>
      <c r="I488" s="12"/>
    </row>
    <row r="489" spans="1:9" x14ac:dyDescent="0.2">
      <c r="A489" s="17"/>
      <c r="G489" s="15"/>
      <c r="H489" s="15"/>
      <c r="I489" s="13"/>
    </row>
    <row r="490" spans="1:9" x14ac:dyDescent="0.2">
      <c r="A490" s="17"/>
      <c r="G490" s="15"/>
      <c r="H490" s="15"/>
      <c r="I490" s="13"/>
    </row>
    <row r="491" spans="1:9" x14ac:dyDescent="0.2">
      <c r="A491" s="17"/>
      <c r="G491" s="15"/>
      <c r="H491" s="15"/>
      <c r="I491" s="13"/>
    </row>
    <row r="492" spans="1:9" x14ac:dyDescent="0.2">
      <c r="A492" s="17"/>
      <c r="G492" s="15"/>
      <c r="H492" s="15"/>
      <c r="I492" s="13"/>
    </row>
    <row r="493" spans="1:9" x14ac:dyDescent="0.2">
      <c r="A493" s="17"/>
      <c r="G493" s="15"/>
      <c r="H493" s="15"/>
      <c r="I493" s="13"/>
    </row>
    <row r="494" spans="1:9" x14ac:dyDescent="0.2">
      <c r="A494" s="17"/>
      <c r="G494" s="15"/>
      <c r="H494" s="15"/>
      <c r="I494" s="13"/>
    </row>
    <row r="495" spans="1:9" x14ac:dyDescent="0.2">
      <c r="A495" s="17"/>
      <c r="G495" s="15"/>
      <c r="H495" s="15"/>
      <c r="I495" s="13"/>
    </row>
    <row r="496" spans="1:9" x14ac:dyDescent="0.2">
      <c r="A496" s="17"/>
      <c r="G496" s="15"/>
      <c r="H496" s="15"/>
      <c r="I496" s="13"/>
    </row>
    <row r="497" spans="1:9" x14ac:dyDescent="0.2">
      <c r="A497" s="17"/>
      <c r="G497" s="15"/>
      <c r="H497" s="15"/>
      <c r="I497" s="13"/>
    </row>
    <row r="498" spans="1:9" x14ac:dyDescent="0.2">
      <c r="A498" s="17"/>
      <c r="G498" s="15"/>
      <c r="H498" s="15"/>
      <c r="I498" s="13"/>
    </row>
    <row r="499" spans="1:9" x14ac:dyDescent="0.2">
      <c r="A499" s="17"/>
      <c r="G499" s="15"/>
      <c r="H499" s="15"/>
      <c r="I499" s="13"/>
    </row>
    <row r="500" spans="1:9" x14ac:dyDescent="0.2">
      <c r="A500" s="17"/>
      <c r="G500" s="15"/>
      <c r="H500" s="15"/>
      <c r="I500" s="13"/>
    </row>
    <row r="501" spans="1:9" x14ac:dyDescent="0.2">
      <c r="A501" s="17"/>
      <c r="G501" s="15"/>
      <c r="H501" s="15"/>
      <c r="I501" s="13"/>
    </row>
    <row r="502" spans="1:9" x14ac:dyDescent="0.2">
      <c r="A502" s="17"/>
      <c r="G502" s="15"/>
      <c r="H502" s="15"/>
      <c r="I502" s="13"/>
    </row>
    <row r="503" spans="1:9" x14ac:dyDescent="0.2">
      <c r="A503" s="17"/>
      <c r="G503" s="15"/>
      <c r="H503" s="15"/>
      <c r="I503" s="13"/>
    </row>
    <row r="504" spans="1:9" x14ac:dyDescent="0.2">
      <c r="A504" s="17"/>
      <c r="G504" s="15"/>
      <c r="H504" s="15"/>
      <c r="I504" s="13"/>
    </row>
    <row r="505" spans="1:9" x14ac:dyDescent="0.2">
      <c r="A505" s="17"/>
      <c r="G505" s="15"/>
      <c r="H505" s="15"/>
      <c r="I505" s="13"/>
    </row>
    <row r="506" spans="1:9" x14ac:dyDescent="0.2">
      <c r="A506" s="17"/>
      <c r="G506" s="15"/>
      <c r="H506" s="15"/>
      <c r="I506" s="13"/>
    </row>
    <row r="507" spans="1:9" x14ac:dyDescent="0.2">
      <c r="A507" s="17"/>
      <c r="G507" s="15"/>
      <c r="H507" s="15"/>
      <c r="I507" s="13"/>
    </row>
    <row r="508" spans="1:9" x14ac:dyDescent="0.2">
      <c r="A508" s="17"/>
      <c r="G508" s="15"/>
      <c r="H508" s="15"/>
      <c r="I508" s="13"/>
    </row>
    <row r="509" spans="1:9" x14ac:dyDescent="0.2">
      <c r="A509" s="17"/>
      <c r="G509" s="15"/>
      <c r="H509" s="15"/>
      <c r="I509" s="13"/>
    </row>
    <row r="510" spans="1:9" x14ac:dyDescent="0.2">
      <c r="G510" s="15"/>
      <c r="H510" s="15"/>
      <c r="I510" s="13"/>
    </row>
    <row r="511" spans="1:9" x14ac:dyDescent="0.2">
      <c r="G511" s="15"/>
      <c r="H511" s="15"/>
      <c r="I511" s="13"/>
    </row>
    <row r="512" spans="1:9" x14ac:dyDescent="0.2">
      <c r="G512" s="15"/>
      <c r="H512" s="15"/>
      <c r="I512" s="13"/>
    </row>
    <row r="513" spans="7:9" x14ac:dyDescent="0.2">
      <c r="G513" s="15"/>
      <c r="H513" s="15"/>
      <c r="I513" s="13"/>
    </row>
    <row r="514" spans="7:9" x14ac:dyDescent="0.2">
      <c r="G514" s="15"/>
      <c r="H514" s="15"/>
      <c r="I514" s="13"/>
    </row>
    <row r="515" spans="7:9" x14ac:dyDescent="0.2">
      <c r="G515" s="15"/>
      <c r="H515" s="15"/>
      <c r="I515" s="13"/>
    </row>
    <row r="516" spans="7:9" x14ac:dyDescent="0.2">
      <c r="G516" s="15"/>
      <c r="H516" s="15"/>
      <c r="I516" s="13"/>
    </row>
    <row r="517" spans="7:9" x14ac:dyDescent="0.2">
      <c r="G517" s="15"/>
      <c r="H517" s="15"/>
      <c r="I517" s="13"/>
    </row>
    <row r="518" spans="7:9" x14ac:dyDescent="0.2">
      <c r="G518" s="15"/>
      <c r="H518" s="15"/>
      <c r="I518" s="13"/>
    </row>
    <row r="519" spans="7:9" x14ac:dyDescent="0.2">
      <c r="G519" s="15"/>
      <c r="H519" s="15"/>
      <c r="I519" s="13"/>
    </row>
    <row r="520" spans="7:9" x14ac:dyDescent="0.2">
      <c r="G520" s="15"/>
      <c r="H520" s="15"/>
      <c r="I520" s="13"/>
    </row>
    <row r="521" spans="7:9" x14ac:dyDescent="0.2">
      <c r="G521" s="15"/>
      <c r="H521" s="15"/>
      <c r="I521" s="13"/>
    </row>
    <row r="522" spans="7:9" x14ac:dyDescent="0.2">
      <c r="G522" s="15"/>
      <c r="H522" s="15"/>
      <c r="I522" s="13"/>
    </row>
    <row r="523" spans="7:9" x14ac:dyDescent="0.2">
      <c r="G523" s="15"/>
      <c r="H523" s="15"/>
      <c r="I523" s="13"/>
    </row>
    <row r="524" spans="7:9" x14ac:dyDescent="0.2">
      <c r="G524" s="15"/>
      <c r="H524" s="15"/>
      <c r="I524" s="13"/>
    </row>
    <row r="525" spans="7:9" x14ac:dyDescent="0.2">
      <c r="G525" s="15"/>
      <c r="H525" s="15"/>
      <c r="I525" s="13"/>
    </row>
    <row r="526" spans="7:9" x14ac:dyDescent="0.2">
      <c r="G526" s="15"/>
      <c r="H526" s="15"/>
      <c r="I526" s="13"/>
    </row>
    <row r="527" spans="7:9" x14ac:dyDescent="0.2">
      <c r="G527" s="15"/>
      <c r="H527" s="15"/>
      <c r="I527" s="13"/>
    </row>
    <row r="528" spans="7:9" x14ac:dyDescent="0.2">
      <c r="G528" s="15"/>
      <c r="H528" s="15"/>
      <c r="I528" s="13"/>
    </row>
    <row r="529" spans="7:9" x14ac:dyDescent="0.2">
      <c r="G529" s="15"/>
      <c r="H529" s="15"/>
      <c r="I529" s="13"/>
    </row>
    <row r="530" spans="7:9" x14ac:dyDescent="0.2">
      <c r="G530" s="15"/>
      <c r="H530" s="15"/>
      <c r="I530" s="13"/>
    </row>
    <row r="531" spans="7:9" x14ac:dyDescent="0.2">
      <c r="G531" s="15"/>
      <c r="H531" s="15"/>
      <c r="I531" s="13"/>
    </row>
    <row r="532" spans="7:9" x14ac:dyDescent="0.2">
      <c r="G532" s="15"/>
      <c r="H532" s="15"/>
      <c r="I532" s="13"/>
    </row>
    <row r="533" spans="7:9" x14ac:dyDescent="0.2">
      <c r="G533" s="15"/>
      <c r="H533" s="15"/>
      <c r="I533" s="13"/>
    </row>
    <row r="534" spans="7:9" x14ac:dyDescent="0.2">
      <c r="G534" s="15"/>
      <c r="H534" s="15"/>
      <c r="I534" s="13"/>
    </row>
    <row r="535" spans="7:9" x14ac:dyDescent="0.2">
      <c r="G535" s="15"/>
      <c r="H535" s="15"/>
      <c r="I535" s="13"/>
    </row>
    <row r="536" spans="7:9" x14ac:dyDescent="0.2">
      <c r="G536" s="15"/>
      <c r="H536" s="15"/>
      <c r="I536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4"/>
  <sheetViews>
    <sheetView workbookViewId="0">
      <selection activeCell="C5" sqref="C5"/>
    </sheetView>
  </sheetViews>
  <sheetFormatPr baseColWidth="10" defaultRowHeight="15" x14ac:dyDescent="0.2"/>
  <sheetData>
    <row r="4" spans="3:3" x14ac:dyDescent="0.2">
      <c r="C4" s="7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L19" sqref="L19"/>
    </sheetView>
  </sheetViews>
  <sheetFormatPr baseColWidth="10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J77"/>
  <sheetViews>
    <sheetView workbookViewId="0">
      <selection activeCell="K18" sqref="K18"/>
    </sheetView>
  </sheetViews>
  <sheetFormatPr baseColWidth="10" defaultColWidth="11.5" defaultRowHeight="15" x14ac:dyDescent="0.2"/>
  <cols>
    <col min="1" max="4" width="11.5" style="1"/>
    <col min="5" max="5" width="21.5" style="1" customWidth="1"/>
    <col min="6" max="6" width="19.5" style="1" bestFit="1" customWidth="1"/>
    <col min="7" max="7" width="26.5" style="1" bestFit="1" customWidth="1"/>
    <col min="8" max="16384" width="11.5" style="1"/>
  </cols>
  <sheetData>
    <row r="1" spans="3:8" x14ac:dyDescent="0.2">
      <c r="C1" s="1" t="s">
        <v>40</v>
      </c>
      <c r="D1" s="1" t="s">
        <v>41</v>
      </c>
    </row>
    <row r="2" spans="3:8" ht="16" thickBot="1" x14ac:dyDescent="0.25"/>
    <row r="3" spans="3:8" ht="16" thickBot="1" x14ac:dyDescent="0.25">
      <c r="C3" s="2">
        <f t="shared" ref="C3:C15" si="0">+D3-6</f>
        <v>43669</v>
      </c>
      <c r="D3" s="2">
        <f t="shared" ref="D3:D15" si="1">+C4-1</f>
        <v>43675</v>
      </c>
      <c r="F3" s="1" t="str">
        <f>"-("&amp;TEXT(C3,"d/m/Y")&amp;"-"&amp;TEXT(D3,"d/m/Y")&amp;")"</f>
        <v>-(23/7/19-29/7/19)</v>
      </c>
      <c r="G3" s="1" t="str">
        <f>CONCATENATE(E3,"",F3)</f>
        <v>-(23/7/19-29/7/19)</v>
      </c>
    </row>
    <row r="4" spans="3:8" ht="16" thickBot="1" x14ac:dyDescent="0.25">
      <c r="C4" s="2">
        <f t="shared" si="0"/>
        <v>43676</v>
      </c>
      <c r="D4" s="2">
        <f t="shared" si="1"/>
        <v>43682</v>
      </c>
      <c r="E4" s="1" t="s">
        <v>42</v>
      </c>
      <c r="F4" s="1" t="str">
        <f t="shared" ref="F4:F67" si="2">"-("&amp;TEXT(C4,"d/m/Y")&amp;"-"&amp;TEXT(D4,"d/m/Y")&amp;")"</f>
        <v>-(30/7/19-5/8/19)</v>
      </c>
      <c r="G4" s="1" t="str">
        <f t="shared" ref="G4:G67" si="3">CONCATENATE(E4,"",F4)</f>
        <v>S1-AGO-(30/7/19-5/8/19)</v>
      </c>
      <c r="H4" s="1" t="s">
        <v>61</v>
      </c>
    </row>
    <row r="5" spans="3:8" ht="16" thickBot="1" x14ac:dyDescent="0.25">
      <c r="C5" s="2">
        <f t="shared" si="0"/>
        <v>43683</v>
      </c>
      <c r="D5" s="2">
        <f t="shared" si="1"/>
        <v>43689</v>
      </c>
      <c r="E5" s="1" t="s">
        <v>43</v>
      </c>
      <c r="F5" s="1" t="str">
        <f t="shared" si="2"/>
        <v>-(6/8/19-12/8/19)</v>
      </c>
      <c r="G5" s="1" t="str">
        <f t="shared" si="3"/>
        <v>S2-AGO-(6/8/19-12/8/19)</v>
      </c>
      <c r="H5" s="1" t="s">
        <v>61</v>
      </c>
    </row>
    <row r="6" spans="3:8" ht="16" thickBot="1" x14ac:dyDescent="0.25">
      <c r="C6" s="2">
        <f t="shared" si="0"/>
        <v>43690</v>
      </c>
      <c r="D6" s="2">
        <f t="shared" si="1"/>
        <v>43696</v>
      </c>
      <c r="E6" s="1" t="s">
        <v>44</v>
      </c>
      <c r="F6" s="1" t="str">
        <f t="shared" si="2"/>
        <v>-(13/8/19-19/8/19)</v>
      </c>
      <c r="G6" s="1" t="str">
        <f t="shared" si="3"/>
        <v>S3-AGO-(13/8/19-19/8/19)</v>
      </c>
      <c r="H6" s="1" t="s">
        <v>61</v>
      </c>
    </row>
    <row r="7" spans="3:8" ht="16" thickBot="1" x14ac:dyDescent="0.25">
      <c r="C7" s="2">
        <f t="shared" si="0"/>
        <v>43697</v>
      </c>
      <c r="D7" s="2">
        <f t="shared" si="1"/>
        <v>43703</v>
      </c>
      <c r="E7" s="3" t="s">
        <v>45</v>
      </c>
      <c r="F7" s="1" t="str">
        <f t="shared" si="2"/>
        <v>-(20/8/19-26/8/19)</v>
      </c>
      <c r="G7" s="1" t="str">
        <f t="shared" si="3"/>
        <v>S4-AGO-(20/8/19-26/8/19)</v>
      </c>
      <c r="H7" s="1" t="s">
        <v>61</v>
      </c>
    </row>
    <row r="8" spans="3:8" ht="16" thickBot="1" x14ac:dyDescent="0.25">
      <c r="C8" s="2">
        <f t="shared" si="0"/>
        <v>43704</v>
      </c>
      <c r="D8" s="2">
        <f t="shared" si="1"/>
        <v>43710</v>
      </c>
      <c r="E8" s="1" t="s">
        <v>23</v>
      </c>
      <c r="F8" s="1" t="str">
        <f t="shared" si="2"/>
        <v>-(27/8/19-2/9/19)</v>
      </c>
      <c r="G8" s="1" t="str">
        <f t="shared" si="3"/>
        <v>S1-SET-(27/8/19-2/9/19)</v>
      </c>
      <c r="H8" s="1" t="s">
        <v>62</v>
      </c>
    </row>
    <row r="9" spans="3:8" ht="16" thickBot="1" x14ac:dyDescent="0.25">
      <c r="C9" s="2">
        <f t="shared" si="0"/>
        <v>43711</v>
      </c>
      <c r="D9" s="2">
        <f t="shared" si="1"/>
        <v>43717</v>
      </c>
      <c r="E9" s="1" t="s">
        <v>22</v>
      </c>
      <c r="F9" s="1" t="str">
        <f t="shared" si="2"/>
        <v>-(3/9/19-9/9/19)</v>
      </c>
      <c r="G9" s="1" t="str">
        <f t="shared" si="3"/>
        <v>S2-SET-(3/9/19-9/9/19)</v>
      </c>
      <c r="H9" s="1" t="s">
        <v>62</v>
      </c>
    </row>
    <row r="10" spans="3:8" ht="16" thickBot="1" x14ac:dyDescent="0.25">
      <c r="C10" s="2">
        <f t="shared" si="0"/>
        <v>43718</v>
      </c>
      <c r="D10" s="2">
        <f t="shared" si="1"/>
        <v>43724</v>
      </c>
      <c r="E10" s="1" t="s">
        <v>21</v>
      </c>
      <c r="F10" s="1" t="str">
        <f t="shared" si="2"/>
        <v>-(10/9/19-16/9/19)</v>
      </c>
      <c r="G10" s="1" t="str">
        <f t="shared" si="3"/>
        <v>S3-SET-(10/9/19-16/9/19)</v>
      </c>
      <c r="H10" s="1" t="s">
        <v>62</v>
      </c>
    </row>
    <row r="11" spans="3:8" ht="16" thickBot="1" x14ac:dyDescent="0.25">
      <c r="C11" s="2">
        <f t="shared" si="0"/>
        <v>43725</v>
      </c>
      <c r="D11" s="2">
        <f t="shared" si="1"/>
        <v>43731</v>
      </c>
      <c r="E11" s="1" t="s">
        <v>20</v>
      </c>
      <c r="F11" s="1" t="str">
        <f t="shared" si="2"/>
        <v>-(17/9/19-23/9/19)</v>
      </c>
      <c r="G11" s="1" t="str">
        <f t="shared" si="3"/>
        <v>S4-SET-(17/9/19-23/9/19)</v>
      </c>
      <c r="H11" s="1" t="s">
        <v>62</v>
      </c>
    </row>
    <row r="12" spans="3:8" ht="16" thickBot="1" x14ac:dyDescent="0.25">
      <c r="C12" s="2">
        <f t="shared" si="0"/>
        <v>43732</v>
      </c>
      <c r="D12" s="2">
        <f t="shared" si="1"/>
        <v>43738</v>
      </c>
      <c r="E12" s="1" t="s">
        <v>19</v>
      </c>
      <c r="F12" s="1" t="str">
        <f t="shared" si="2"/>
        <v>-(24/9/19-30/9/19)</v>
      </c>
      <c r="G12" s="1" t="str">
        <f t="shared" si="3"/>
        <v>S5-SET-(24/9/19-30/9/19)</v>
      </c>
      <c r="H12" s="1" t="s">
        <v>62</v>
      </c>
    </row>
    <row r="13" spans="3:8" ht="16" thickBot="1" x14ac:dyDescent="0.25">
      <c r="C13" s="2">
        <v>43739</v>
      </c>
      <c r="D13" s="2">
        <f t="shared" si="1"/>
        <v>43748</v>
      </c>
      <c r="E13" s="1" t="s">
        <v>15</v>
      </c>
      <c r="F13" s="1" t="str">
        <f t="shared" si="2"/>
        <v>-(1/10/19-10/10/19)</v>
      </c>
      <c r="G13" s="1" t="str">
        <f t="shared" si="3"/>
        <v>S1-OCT-(1/10/19-10/10/19)</v>
      </c>
      <c r="H13" s="1" t="s">
        <v>63</v>
      </c>
    </row>
    <row r="14" spans="3:8" ht="16" thickBot="1" x14ac:dyDescent="0.25">
      <c r="C14" s="2">
        <f t="shared" si="0"/>
        <v>43749</v>
      </c>
      <c r="D14" s="2">
        <f t="shared" si="1"/>
        <v>43755</v>
      </c>
      <c r="E14" s="1" t="s">
        <v>16</v>
      </c>
      <c r="F14" s="1" t="str">
        <f t="shared" si="2"/>
        <v>-(11/10/19-17/10/19)</v>
      </c>
      <c r="G14" s="1" t="str">
        <f t="shared" si="3"/>
        <v>S2-OCT-(11/10/19-17/10/19)</v>
      </c>
      <c r="H14" s="1" t="s">
        <v>63</v>
      </c>
    </row>
    <row r="15" spans="3:8" ht="16" thickBot="1" x14ac:dyDescent="0.25">
      <c r="C15" s="2">
        <f t="shared" si="0"/>
        <v>43756</v>
      </c>
      <c r="D15" s="2">
        <f t="shared" si="1"/>
        <v>43762</v>
      </c>
      <c r="E15" s="1" t="s">
        <v>17</v>
      </c>
      <c r="F15" s="1" t="str">
        <f t="shared" si="2"/>
        <v>-(18/10/19-24/10/19)</v>
      </c>
      <c r="G15" s="1" t="str">
        <f t="shared" si="3"/>
        <v>S3-OCT-(18/10/19-24/10/19)</v>
      </c>
      <c r="H15" s="1" t="s">
        <v>63</v>
      </c>
    </row>
    <row r="16" spans="3:8" ht="16" thickBot="1" x14ac:dyDescent="0.25">
      <c r="C16" s="2">
        <f>+D16-6</f>
        <v>43763</v>
      </c>
      <c r="D16" s="2">
        <f>+C17-1</f>
        <v>43769</v>
      </c>
      <c r="E16" s="1" t="s">
        <v>18</v>
      </c>
      <c r="F16" s="1" t="str">
        <f t="shared" si="2"/>
        <v>-(25/10/19-31/10/19)</v>
      </c>
      <c r="G16" s="1" t="str">
        <f t="shared" si="3"/>
        <v>S4-OCT-(25/10/19-31/10/19)</v>
      </c>
      <c r="H16" s="1" t="s">
        <v>63</v>
      </c>
    </row>
    <row r="17" spans="2:8" ht="16" thickBot="1" x14ac:dyDescent="0.25">
      <c r="C17" s="2">
        <v>43770</v>
      </c>
      <c r="D17" s="2">
        <v>43776</v>
      </c>
      <c r="E17" s="1" t="s">
        <v>7</v>
      </c>
      <c r="F17" s="1" t="str">
        <f t="shared" si="2"/>
        <v>-(1/11/19-7/11/19)</v>
      </c>
      <c r="G17" s="1" t="str">
        <f t="shared" si="3"/>
        <v>S1-NOV-(1/11/19-7/11/19)</v>
      </c>
      <c r="H17" s="1" t="s">
        <v>64</v>
      </c>
    </row>
    <row r="18" spans="2:8" ht="16" thickBot="1" x14ac:dyDescent="0.25">
      <c r="C18" s="2">
        <f t="shared" ref="C18:C73" si="4">+D17+1</f>
        <v>43777</v>
      </c>
      <c r="D18" s="2">
        <f t="shared" ref="D18:D73" si="5">+C18+6</f>
        <v>43783</v>
      </c>
      <c r="E18" s="1" t="s">
        <v>6</v>
      </c>
      <c r="F18" s="1" t="str">
        <f t="shared" si="2"/>
        <v>-(8/11/19-14/11/19)</v>
      </c>
      <c r="G18" s="1" t="str">
        <f t="shared" si="3"/>
        <v>S2-NOV-(8/11/19-14/11/19)</v>
      </c>
      <c r="H18" s="1" t="s">
        <v>64</v>
      </c>
    </row>
    <row r="19" spans="2:8" ht="16" thickBot="1" x14ac:dyDescent="0.25">
      <c r="C19" s="2">
        <f t="shared" si="4"/>
        <v>43784</v>
      </c>
      <c r="D19" s="2">
        <f t="shared" si="5"/>
        <v>43790</v>
      </c>
      <c r="E19" s="1" t="s">
        <v>8</v>
      </c>
      <c r="F19" s="1" t="str">
        <f t="shared" si="2"/>
        <v>-(15/11/19-21/11/19)</v>
      </c>
      <c r="G19" s="1" t="str">
        <f t="shared" si="3"/>
        <v>S3-NOV-(15/11/19-21/11/19)</v>
      </c>
      <c r="H19" s="1" t="s">
        <v>64</v>
      </c>
    </row>
    <row r="20" spans="2:8" ht="16" thickBot="1" x14ac:dyDescent="0.25">
      <c r="C20" s="2">
        <f t="shared" si="4"/>
        <v>43791</v>
      </c>
      <c r="D20" s="2">
        <v>43799</v>
      </c>
      <c r="E20" s="1" t="s">
        <v>9</v>
      </c>
      <c r="F20" s="1" t="str">
        <f t="shared" si="2"/>
        <v>-(22/11/19-30/11/19)</v>
      </c>
      <c r="G20" s="1" t="str">
        <f t="shared" si="3"/>
        <v>S4-NOV-(22/11/19-30/11/19)</v>
      </c>
      <c r="H20" s="1" t="s">
        <v>64</v>
      </c>
    </row>
    <row r="21" spans="2:8" ht="16" thickBot="1" x14ac:dyDescent="0.25">
      <c r="C21" s="2">
        <f t="shared" si="4"/>
        <v>43800</v>
      </c>
      <c r="D21" s="2">
        <v>43804</v>
      </c>
      <c r="E21" s="1" t="s">
        <v>10</v>
      </c>
      <c r="F21" s="1" t="str">
        <f t="shared" si="2"/>
        <v>-(1/12/19-5/12/19)</v>
      </c>
      <c r="G21" s="1" t="str">
        <f t="shared" si="3"/>
        <v>S1-DIC-(1/12/19-5/12/19)</v>
      </c>
      <c r="H21" s="1" t="s">
        <v>65</v>
      </c>
    </row>
    <row r="22" spans="2:8" ht="16" thickBot="1" x14ac:dyDescent="0.25">
      <c r="C22" s="2">
        <f t="shared" si="4"/>
        <v>43805</v>
      </c>
      <c r="D22" s="2">
        <f t="shared" si="5"/>
        <v>43811</v>
      </c>
      <c r="E22" s="1" t="s">
        <v>11</v>
      </c>
      <c r="F22" s="1" t="str">
        <f t="shared" si="2"/>
        <v>-(6/12/19-12/12/19)</v>
      </c>
      <c r="G22" s="1" t="str">
        <f t="shared" si="3"/>
        <v>S2-DIC-(6/12/19-12/12/19)</v>
      </c>
      <c r="H22" s="1" t="s">
        <v>65</v>
      </c>
    </row>
    <row r="23" spans="2:8" ht="16" thickBot="1" x14ac:dyDescent="0.25">
      <c r="C23" s="2">
        <f t="shared" si="4"/>
        <v>43812</v>
      </c>
      <c r="D23" s="2">
        <f t="shared" si="5"/>
        <v>43818</v>
      </c>
      <c r="E23" s="1" t="s">
        <v>12</v>
      </c>
      <c r="F23" s="1" t="str">
        <f t="shared" si="2"/>
        <v>-(13/12/19-19/12/19)</v>
      </c>
      <c r="G23" s="1" t="str">
        <f t="shared" si="3"/>
        <v>S3-DIC-(13/12/19-19/12/19)</v>
      </c>
      <c r="H23" s="1" t="s">
        <v>65</v>
      </c>
    </row>
    <row r="24" spans="2:8" ht="16" thickBot="1" x14ac:dyDescent="0.25">
      <c r="C24" s="2">
        <f t="shared" si="4"/>
        <v>43819</v>
      </c>
      <c r="D24" s="2">
        <f t="shared" si="5"/>
        <v>43825</v>
      </c>
      <c r="E24" s="1" t="s">
        <v>13</v>
      </c>
      <c r="F24" s="1" t="str">
        <f t="shared" si="2"/>
        <v>-(20/12/19-26/12/19)</v>
      </c>
      <c r="G24" s="1" t="str">
        <f t="shared" si="3"/>
        <v>S4-DIC-(20/12/19-26/12/19)</v>
      </c>
      <c r="H24" s="1" t="s">
        <v>65</v>
      </c>
    </row>
    <row r="25" spans="2:8" ht="16" thickBot="1" x14ac:dyDescent="0.25">
      <c r="C25" s="2">
        <f t="shared" si="4"/>
        <v>43826</v>
      </c>
      <c r="D25" s="2">
        <v>43830</v>
      </c>
      <c r="E25" s="1" t="s">
        <v>14</v>
      </c>
      <c r="F25" s="1" t="str">
        <f t="shared" si="2"/>
        <v>-(27/12/19-31/12/19)</v>
      </c>
      <c r="G25" s="1" t="str">
        <f t="shared" si="3"/>
        <v>S5-DIC-(27/12/19-31/12/19)</v>
      </c>
      <c r="H25" s="1" t="s">
        <v>65</v>
      </c>
    </row>
    <row r="26" spans="2:8" ht="16" thickBot="1" x14ac:dyDescent="0.25">
      <c r="C26" s="2">
        <f t="shared" si="4"/>
        <v>43831</v>
      </c>
      <c r="D26" s="2">
        <v>43839</v>
      </c>
      <c r="E26" s="1" t="s">
        <v>24</v>
      </c>
      <c r="F26" s="1" t="str">
        <f t="shared" si="2"/>
        <v>-(1/1/20-9/1/20)</v>
      </c>
      <c r="G26" s="1" t="str">
        <f t="shared" si="3"/>
        <v>S1-ENE-(1/1/20-9/1/20)</v>
      </c>
      <c r="H26" s="1" t="s">
        <v>66</v>
      </c>
    </row>
    <row r="27" spans="2:8" ht="16" thickBot="1" x14ac:dyDescent="0.25">
      <c r="C27" s="2">
        <f t="shared" si="4"/>
        <v>43840</v>
      </c>
      <c r="D27" s="2">
        <f t="shared" si="5"/>
        <v>43846</v>
      </c>
      <c r="E27" s="1" t="s">
        <v>25</v>
      </c>
      <c r="F27" s="1" t="str">
        <f t="shared" si="2"/>
        <v>-(10/1/20-16/1/20)</v>
      </c>
      <c r="G27" s="1" t="str">
        <f t="shared" si="3"/>
        <v>S2-ENE-(10/1/20-16/1/20)</v>
      </c>
      <c r="H27" s="1" t="s">
        <v>66</v>
      </c>
    </row>
    <row r="28" spans="2:8" ht="16" thickBot="1" x14ac:dyDescent="0.25">
      <c r="C28" s="2">
        <f t="shared" si="4"/>
        <v>43847</v>
      </c>
      <c r="D28" s="2">
        <f t="shared" si="5"/>
        <v>43853</v>
      </c>
      <c r="E28" s="1" t="s">
        <v>26</v>
      </c>
      <c r="F28" s="1" t="str">
        <f t="shared" si="2"/>
        <v>-(17/1/20-23/1/20)</v>
      </c>
      <c r="G28" s="1" t="str">
        <f t="shared" si="3"/>
        <v>S3-ENE-(17/1/20-23/1/20)</v>
      </c>
      <c r="H28" s="1" t="s">
        <v>66</v>
      </c>
    </row>
    <row r="29" spans="2:8" ht="16" thickBot="1" x14ac:dyDescent="0.25">
      <c r="C29" s="2">
        <f t="shared" si="4"/>
        <v>43854</v>
      </c>
      <c r="D29" s="2">
        <v>43861</v>
      </c>
      <c r="E29" s="1" t="s">
        <v>27</v>
      </c>
      <c r="F29" s="1" t="str">
        <f t="shared" si="2"/>
        <v>-(24/1/20-31/1/20)</v>
      </c>
      <c r="G29" s="1" t="str">
        <f t="shared" si="3"/>
        <v>S4-ENE-(24/1/20-31/1/20)</v>
      </c>
      <c r="H29" s="1" t="s">
        <v>66</v>
      </c>
    </row>
    <row r="30" spans="2:8" ht="16" thickBot="1" x14ac:dyDescent="0.25">
      <c r="B30" s="5"/>
      <c r="C30" s="6">
        <f t="shared" si="4"/>
        <v>43862</v>
      </c>
      <c r="D30" s="6">
        <v>43867</v>
      </c>
      <c r="E30" s="5" t="s">
        <v>28</v>
      </c>
      <c r="F30" s="1" t="str">
        <f t="shared" si="2"/>
        <v>-(1/2/20-6/2/20)</v>
      </c>
      <c r="G30" s="1" t="str">
        <f t="shared" si="3"/>
        <v>S1-FEB-(1/2/20-6/2/20)</v>
      </c>
      <c r="H30" s="1" t="s">
        <v>67</v>
      </c>
    </row>
    <row r="31" spans="2:8" ht="16" thickBot="1" x14ac:dyDescent="0.25">
      <c r="C31" s="2">
        <f t="shared" si="4"/>
        <v>43868</v>
      </c>
      <c r="D31" s="2">
        <f t="shared" si="5"/>
        <v>43874</v>
      </c>
      <c r="E31" s="1" t="s">
        <v>29</v>
      </c>
      <c r="F31" s="1" t="str">
        <f t="shared" si="2"/>
        <v>-(7/2/20-13/2/20)</v>
      </c>
      <c r="G31" s="1" t="str">
        <f t="shared" si="3"/>
        <v>S2-FEB-(7/2/20-13/2/20)</v>
      </c>
      <c r="H31" s="1" t="s">
        <v>67</v>
      </c>
    </row>
    <row r="32" spans="2:8" ht="16" thickBot="1" x14ac:dyDescent="0.25">
      <c r="C32" s="2">
        <f t="shared" si="4"/>
        <v>43875</v>
      </c>
      <c r="D32" s="2">
        <f t="shared" si="5"/>
        <v>43881</v>
      </c>
      <c r="E32" s="1" t="s">
        <v>30</v>
      </c>
      <c r="F32" s="1" t="str">
        <f t="shared" si="2"/>
        <v>-(14/2/20-20/2/20)</v>
      </c>
      <c r="G32" s="1" t="str">
        <f t="shared" si="3"/>
        <v>S3-FEB-(14/2/20-20/2/20)</v>
      </c>
      <c r="H32" s="1" t="s">
        <v>67</v>
      </c>
    </row>
    <row r="33" spans="3:10" ht="16" thickBot="1" x14ac:dyDescent="0.25">
      <c r="C33" s="2">
        <f t="shared" si="4"/>
        <v>43882</v>
      </c>
      <c r="D33" s="2">
        <f t="shared" si="5"/>
        <v>43888</v>
      </c>
      <c r="E33" s="1" t="s">
        <v>31</v>
      </c>
      <c r="F33" s="1" t="str">
        <f t="shared" si="2"/>
        <v>-(21/2/20-27/2/20)</v>
      </c>
      <c r="G33" s="1" t="str">
        <f t="shared" si="3"/>
        <v>S4-FEB-(21/2/20-27/2/20)</v>
      </c>
      <c r="H33" s="1" t="s">
        <v>67</v>
      </c>
    </row>
    <row r="34" spans="3:10" ht="16" thickBot="1" x14ac:dyDescent="0.25">
      <c r="C34" s="2">
        <f t="shared" si="4"/>
        <v>43889</v>
      </c>
      <c r="D34" s="2">
        <f t="shared" si="5"/>
        <v>43895</v>
      </c>
      <c r="E34" s="1" t="s">
        <v>32</v>
      </c>
      <c r="F34" s="1" t="str">
        <f t="shared" si="2"/>
        <v>-(28/2/20-5/3/20)</v>
      </c>
      <c r="G34" s="1" t="str">
        <f t="shared" si="3"/>
        <v>S1-MAR-(28/2/20-5/3/20)</v>
      </c>
      <c r="H34" s="1" t="s">
        <v>68</v>
      </c>
    </row>
    <row r="35" spans="3:10" ht="16" thickBot="1" x14ac:dyDescent="0.25">
      <c r="C35" s="2">
        <f t="shared" si="4"/>
        <v>43896</v>
      </c>
      <c r="D35" s="2">
        <f t="shared" si="5"/>
        <v>43902</v>
      </c>
      <c r="E35" s="1" t="s">
        <v>33</v>
      </c>
      <c r="F35" s="1" t="str">
        <f t="shared" si="2"/>
        <v>-(6/3/20-12/3/20)</v>
      </c>
      <c r="G35" s="1" t="str">
        <f t="shared" si="3"/>
        <v>S2-MAR-(6/3/20-12/3/20)</v>
      </c>
      <c r="H35" s="1" t="s">
        <v>68</v>
      </c>
    </row>
    <row r="36" spans="3:10" ht="16" thickBot="1" x14ac:dyDescent="0.25">
      <c r="C36" s="2">
        <f t="shared" si="4"/>
        <v>43903</v>
      </c>
      <c r="D36" s="2">
        <f t="shared" si="5"/>
        <v>43909</v>
      </c>
      <c r="E36" s="1" t="s">
        <v>34</v>
      </c>
      <c r="F36" s="1" t="str">
        <f t="shared" si="2"/>
        <v>-(13/3/20-19/3/20)</v>
      </c>
      <c r="G36" s="1" t="str">
        <f t="shared" si="3"/>
        <v>S3-MAR-(13/3/20-19/3/20)</v>
      </c>
      <c r="H36" s="1" t="s">
        <v>68</v>
      </c>
    </row>
    <row r="37" spans="3:10" ht="16" thickBot="1" x14ac:dyDescent="0.25">
      <c r="C37" s="2">
        <f t="shared" si="4"/>
        <v>43910</v>
      </c>
      <c r="D37" s="2">
        <f t="shared" si="5"/>
        <v>43916</v>
      </c>
      <c r="E37" s="1" t="s">
        <v>35</v>
      </c>
      <c r="F37" s="1" t="str">
        <f t="shared" si="2"/>
        <v>-(20/3/20-26/3/20)</v>
      </c>
      <c r="G37" s="1" t="str">
        <f t="shared" si="3"/>
        <v>S4-MAR-(20/3/20-26/3/20)</v>
      </c>
      <c r="H37" s="1" t="s">
        <v>68</v>
      </c>
    </row>
    <row r="38" spans="3:10" ht="16" thickBot="1" x14ac:dyDescent="0.25">
      <c r="C38" s="2">
        <f t="shared" si="4"/>
        <v>43917</v>
      </c>
      <c r="D38" s="2">
        <f t="shared" si="5"/>
        <v>43923</v>
      </c>
      <c r="E38" s="1" t="s">
        <v>35</v>
      </c>
      <c r="F38" s="1" t="str">
        <f t="shared" si="2"/>
        <v>-(27/3/20-2/4/20)</v>
      </c>
      <c r="G38" s="1" t="str">
        <f t="shared" si="3"/>
        <v>S4-MAR-(27/3/20-2/4/20)</v>
      </c>
      <c r="H38" s="1" t="s">
        <v>68</v>
      </c>
    </row>
    <row r="39" spans="3:10" ht="16" thickBot="1" x14ac:dyDescent="0.25">
      <c r="C39" s="2">
        <f t="shared" si="4"/>
        <v>43924</v>
      </c>
      <c r="D39" s="2">
        <f t="shared" si="5"/>
        <v>43930</v>
      </c>
      <c r="E39" s="1" t="s">
        <v>36</v>
      </c>
      <c r="F39" s="1" t="str">
        <f t="shared" si="2"/>
        <v>-(3/4/20-9/4/20)</v>
      </c>
      <c r="G39" s="1" t="str">
        <f t="shared" si="3"/>
        <v>S1-ABR-(3/4/20-9/4/20)</v>
      </c>
      <c r="H39" s="1" t="s">
        <v>69</v>
      </c>
    </row>
    <row r="40" spans="3:10" ht="16" thickBot="1" x14ac:dyDescent="0.25">
      <c r="C40" s="2">
        <f t="shared" si="4"/>
        <v>43931</v>
      </c>
      <c r="D40" s="2">
        <f t="shared" si="5"/>
        <v>43937</v>
      </c>
      <c r="E40" s="1" t="s">
        <v>37</v>
      </c>
      <c r="F40" s="1" t="str">
        <f t="shared" si="2"/>
        <v>-(10/4/20-16/4/20)</v>
      </c>
      <c r="G40" s="1" t="str">
        <f t="shared" si="3"/>
        <v>S2-ABRI-(10/4/20-16/4/20)</v>
      </c>
      <c r="H40" s="1" t="s">
        <v>69</v>
      </c>
    </row>
    <row r="41" spans="3:10" ht="16" thickBot="1" x14ac:dyDescent="0.25">
      <c r="C41" s="2">
        <f t="shared" si="4"/>
        <v>43938</v>
      </c>
      <c r="D41" s="2">
        <f t="shared" si="5"/>
        <v>43944</v>
      </c>
      <c r="E41" s="1" t="s">
        <v>38</v>
      </c>
      <c r="F41" s="1" t="str">
        <f t="shared" si="2"/>
        <v>-(17/4/20-23/4/20)</v>
      </c>
      <c r="G41" s="1" t="str">
        <f t="shared" si="3"/>
        <v>S3-ABRI-(17/4/20-23/4/20)</v>
      </c>
      <c r="H41" s="1" t="s">
        <v>69</v>
      </c>
    </row>
    <row r="42" spans="3:10" ht="16" thickBot="1" x14ac:dyDescent="0.25">
      <c r="C42" s="2">
        <f t="shared" si="4"/>
        <v>43945</v>
      </c>
      <c r="D42" s="2">
        <f t="shared" si="5"/>
        <v>43951</v>
      </c>
      <c r="E42" s="1" t="s">
        <v>39</v>
      </c>
      <c r="F42" s="1" t="str">
        <f t="shared" si="2"/>
        <v>-(24/4/20-30/4/20)</v>
      </c>
      <c r="G42" s="1" t="str">
        <f t="shared" si="3"/>
        <v>S4-ABRI-(24/4/20-30/4/20)</v>
      </c>
      <c r="H42" s="1" t="s">
        <v>69</v>
      </c>
    </row>
    <row r="43" spans="3:10" ht="16" thickBot="1" x14ac:dyDescent="0.25">
      <c r="C43" s="2">
        <f t="shared" si="4"/>
        <v>43952</v>
      </c>
      <c r="D43" s="2">
        <f t="shared" si="5"/>
        <v>43958</v>
      </c>
      <c r="E43" s="1" t="s">
        <v>46</v>
      </c>
      <c r="F43" s="1" t="str">
        <f t="shared" si="2"/>
        <v>-(1/5/20-7/5/20)</v>
      </c>
      <c r="G43" s="1" t="str">
        <f t="shared" si="3"/>
        <v>S1-MAY-(1/5/20-7/5/20)</v>
      </c>
      <c r="H43" s="1" t="s">
        <v>70</v>
      </c>
    </row>
    <row r="44" spans="3:10" ht="16" thickBot="1" x14ac:dyDescent="0.25">
      <c r="C44" s="2">
        <f t="shared" si="4"/>
        <v>43959</v>
      </c>
      <c r="D44" s="2">
        <f t="shared" si="5"/>
        <v>43965</v>
      </c>
      <c r="E44" s="1" t="s">
        <v>47</v>
      </c>
      <c r="F44" s="1" t="str">
        <f t="shared" si="2"/>
        <v>-(8/5/20-14/5/20)</v>
      </c>
      <c r="G44" s="1" t="str">
        <f t="shared" si="3"/>
        <v>S2-MAY-(8/5/20-14/5/20)</v>
      </c>
      <c r="H44" s="1" t="s">
        <v>70</v>
      </c>
    </row>
    <row r="45" spans="3:10" ht="16" thickBot="1" x14ac:dyDescent="0.25">
      <c r="C45" s="2">
        <f t="shared" si="4"/>
        <v>43966</v>
      </c>
      <c r="D45" s="2">
        <f t="shared" si="5"/>
        <v>43972</v>
      </c>
      <c r="E45" s="1" t="s">
        <v>48</v>
      </c>
      <c r="F45" s="1" t="str">
        <f t="shared" si="2"/>
        <v>-(15/5/20-21/5/20)</v>
      </c>
      <c r="G45" s="1" t="str">
        <f t="shared" si="3"/>
        <v>S3-MAY-(15/5/20-21/5/20)</v>
      </c>
      <c r="H45" s="1" t="s">
        <v>70</v>
      </c>
    </row>
    <row r="46" spans="3:10" ht="16" thickBot="1" x14ac:dyDescent="0.25">
      <c r="C46" s="2">
        <f t="shared" si="4"/>
        <v>43973</v>
      </c>
      <c r="D46" s="2">
        <f t="shared" si="5"/>
        <v>43979</v>
      </c>
      <c r="E46" s="1" t="s">
        <v>49</v>
      </c>
      <c r="F46" s="1" t="str">
        <f t="shared" si="2"/>
        <v>-(22/5/20-28/5/20)</v>
      </c>
      <c r="G46" s="1" t="str">
        <f t="shared" si="3"/>
        <v>S4-MAY-(22/5/20-28/5/20)</v>
      </c>
      <c r="H46" s="1" t="s">
        <v>70</v>
      </c>
    </row>
    <row r="47" spans="3:10" ht="16" thickBot="1" x14ac:dyDescent="0.25">
      <c r="C47" s="2">
        <f t="shared" si="4"/>
        <v>43980</v>
      </c>
      <c r="D47" s="2">
        <f t="shared" si="5"/>
        <v>43986</v>
      </c>
      <c r="E47" s="1" t="s">
        <v>50</v>
      </c>
      <c r="F47" s="1" t="str">
        <f t="shared" si="2"/>
        <v>-(29/5/20-4/6/20)</v>
      </c>
      <c r="G47" s="1" t="str">
        <f t="shared" si="3"/>
        <v>S1-JUN-(29/5/20-4/6/20)</v>
      </c>
      <c r="H47" s="1" t="s">
        <v>71</v>
      </c>
    </row>
    <row r="48" spans="3:10" ht="16" thickBot="1" x14ac:dyDescent="0.25">
      <c r="C48" s="2">
        <f t="shared" si="4"/>
        <v>43987</v>
      </c>
      <c r="D48" s="2">
        <f t="shared" si="5"/>
        <v>43993</v>
      </c>
      <c r="E48" s="1" t="s">
        <v>51</v>
      </c>
      <c r="F48" s="1" t="str">
        <f t="shared" si="2"/>
        <v>-(5/6/20-11/6/20)</v>
      </c>
      <c r="G48" s="1" t="str">
        <f t="shared" si="3"/>
        <v>S2-JUN-(5/6/20-11/6/20)</v>
      </c>
      <c r="H48" s="1" t="s">
        <v>71</v>
      </c>
      <c r="J48" s="2">
        <v>43775</v>
      </c>
    </row>
    <row r="49" spans="3:10" ht="16" thickBot="1" x14ac:dyDescent="0.25">
      <c r="C49" s="2">
        <f t="shared" si="4"/>
        <v>43994</v>
      </c>
      <c r="D49" s="2">
        <f t="shared" si="5"/>
        <v>44000</v>
      </c>
      <c r="E49" s="1" t="s">
        <v>52</v>
      </c>
      <c r="F49" s="1" t="str">
        <f t="shared" si="2"/>
        <v>-(12/6/20-18/6/20)</v>
      </c>
      <c r="G49" s="1" t="str">
        <f t="shared" si="3"/>
        <v>S3-JUN-(12/6/20-18/6/20)</v>
      </c>
      <c r="H49" s="1" t="s">
        <v>71</v>
      </c>
      <c r="J49" s="1" t="str">
        <f>VLOOKUP(J48,C16:E27,3,TRUE)</f>
        <v>S1-NOV</v>
      </c>
    </row>
    <row r="50" spans="3:10" ht="16" thickBot="1" x14ac:dyDescent="0.25">
      <c r="C50" s="2">
        <f t="shared" si="4"/>
        <v>44001</v>
      </c>
      <c r="D50" s="2">
        <f t="shared" si="5"/>
        <v>44007</v>
      </c>
      <c r="E50" s="1" t="s">
        <v>53</v>
      </c>
      <c r="F50" s="1" t="str">
        <f t="shared" si="2"/>
        <v>-(19/6/20-25/6/20)</v>
      </c>
      <c r="G50" s="1" t="str">
        <f t="shared" si="3"/>
        <v>S4-JUN-(19/6/20-25/6/20)</v>
      </c>
      <c r="H50" s="1" t="s">
        <v>71</v>
      </c>
    </row>
    <row r="51" spans="3:10" ht="16" thickBot="1" x14ac:dyDescent="0.25">
      <c r="C51" s="2">
        <f t="shared" si="4"/>
        <v>44008</v>
      </c>
      <c r="D51" s="2">
        <f t="shared" si="5"/>
        <v>44014</v>
      </c>
      <c r="E51" s="1" t="s">
        <v>54</v>
      </c>
      <c r="F51" s="1" t="str">
        <f t="shared" si="2"/>
        <v>-(26/6/20-2/7/20)</v>
      </c>
      <c r="G51" s="1" t="str">
        <f t="shared" si="3"/>
        <v>S5-JUN-(26/6/20-2/7/20)</v>
      </c>
      <c r="H51" s="1" t="s">
        <v>71</v>
      </c>
    </row>
    <row r="52" spans="3:10" ht="16" thickBot="1" x14ac:dyDescent="0.25">
      <c r="C52" s="2">
        <f t="shared" si="4"/>
        <v>44015</v>
      </c>
      <c r="D52" s="2">
        <f t="shared" si="5"/>
        <v>44021</v>
      </c>
      <c r="E52" s="1" t="s">
        <v>55</v>
      </c>
      <c r="F52" s="1" t="str">
        <f t="shared" si="2"/>
        <v>-(3/7/20-9/7/20)</v>
      </c>
      <c r="G52" s="1" t="str">
        <f t="shared" si="3"/>
        <v>S1-JUL-(3/7/20-9/7/20)</v>
      </c>
      <c r="H52" s="1" t="s">
        <v>72</v>
      </c>
    </row>
    <row r="53" spans="3:10" ht="16" thickBot="1" x14ac:dyDescent="0.25">
      <c r="C53" s="2">
        <f t="shared" si="4"/>
        <v>44022</v>
      </c>
      <c r="D53" s="2">
        <f t="shared" si="5"/>
        <v>44028</v>
      </c>
      <c r="E53" s="1" t="s">
        <v>56</v>
      </c>
      <c r="F53" s="1" t="str">
        <f t="shared" si="2"/>
        <v>-(10/7/20-16/7/20)</v>
      </c>
      <c r="G53" s="1" t="str">
        <f t="shared" si="3"/>
        <v>S2-JUL-(10/7/20-16/7/20)</v>
      </c>
      <c r="H53" s="1" t="s">
        <v>72</v>
      </c>
    </row>
    <row r="54" spans="3:10" ht="16" thickBot="1" x14ac:dyDescent="0.25">
      <c r="C54" s="2">
        <f t="shared" si="4"/>
        <v>44029</v>
      </c>
      <c r="D54" s="2">
        <f t="shared" si="5"/>
        <v>44035</v>
      </c>
      <c r="E54" s="1" t="s">
        <v>57</v>
      </c>
      <c r="F54" s="1" t="str">
        <f t="shared" si="2"/>
        <v>-(17/7/20-23/7/20)</v>
      </c>
      <c r="G54" s="1" t="str">
        <f t="shared" si="3"/>
        <v>S3-JUL-(17/7/20-23/7/20)</v>
      </c>
      <c r="H54" s="1" t="s">
        <v>72</v>
      </c>
    </row>
    <row r="55" spans="3:10" ht="16" thickBot="1" x14ac:dyDescent="0.25">
      <c r="C55" s="2">
        <f t="shared" si="4"/>
        <v>44036</v>
      </c>
      <c r="D55" s="2">
        <f t="shared" si="5"/>
        <v>44042</v>
      </c>
      <c r="E55" s="1" t="s">
        <v>58</v>
      </c>
      <c r="F55" s="1" t="str">
        <f t="shared" si="2"/>
        <v>-(24/7/20-30/7/20)</v>
      </c>
      <c r="G55" s="1" t="str">
        <f t="shared" si="3"/>
        <v>S4-JUL-(24/7/20-30/7/20)</v>
      </c>
      <c r="H55" s="1" t="s">
        <v>72</v>
      </c>
    </row>
    <row r="56" spans="3:10" ht="16" thickBot="1" x14ac:dyDescent="0.25">
      <c r="C56" s="2">
        <f t="shared" si="4"/>
        <v>44043</v>
      </c>
      <c r="D56" s="2">
        <f t="shared" si="5"/>
        <v>44049</v>
      </c>
      <c r="E56" s="1" t="s">
        <v>42</v>
      </c>
      <c r="F56" s="1" t="str">
        <f t="shared" si="2"/>
        <v>-(31/7/20-6/8/20)</v>
      </c>
      <c r="G56" s="1" t="str">
        <f t="shared" si="3"/>
        <v>S1-AGO-(31/7/20-6/8/20)</v>
      </c>
      <c r="H56" s="1" t="s">
        <v>61</v>
      </c>
    </row>
    <row r="57" spans="3:10" ht="16" thickBot="1" x14ac:dyDescent="0.25">
      <c r="C57" s="2">
        <f t="shared" si="4"/>
        <v>44050</v>
      </c>
      <c r="D57" s="2">
        <f t="shared" si="5"/>
        <v>44056</v>
      </c>
      <c r="E57" s="1" t="s">
        <v>43</v>
      </c>
      <c r="F57" s="1" t="str">
        <f t="shared" si="2"/>
        <v>-(7/8/20-13/8/20)</v>
      </c>
      <c r="G57" s="1" t="str">
        <f t="shared" si="3"/>
        <v>S2-AGO-(7/8/20-13/8/20)</v>
      </c>
      <c r="H57" s="1" t="s">
        <v>61</v>
      </c>
    </row>
    <row r="58" spans="3:10" ht="16" thickBot="1" x14ac:dyDescent="0.25">
      <c r="C58" s="2">
        <f t="shared" si="4"/>
        <v>44057</v>
      </c>
      <c r="D58" s="2">
        <f t="shared" si="5"/>
        <v>44063</v>
      </c>
      <c r="E58" s="1" t="s">
        <v>44</v>
      </c>
      <c r="F58" s="1" t="str">
        <f t="shared" si="2"/>
        <v>-(14/8/20-20/8/20)</v>
      </c>
      <c r="G58" s="1" t="str">
        <f t="shared" si="3"/>
        <v>S3-AGO-(14/8/20-20/8/20)</v>
      </c>
      <c r="H58" s="1" t="s">
        <v>61</v>
      </c>
    </row>
    <row r="59" spans="3:10" ht="16" thickBot="1" x14ac:dyDescent="0.25">
      <c r="C59" s="2">
        <f t="shared" si="4"/>
        <v>44064</v>
      </c>
      <c r="D59" s="2">
        <f t="shared" si="5"/>
        <v>44070</v>
      </c>
      <c r="E59" s="1" t="s">
        <v>45</v>
      </c>
      <c r="F59" s="1" t="str">
        <f t="shared" si="2"/>
        <v>-(21/8/20-27/8/20)</v>
      </c>
      <c r="G59" s="1" t="str">
        <f t="shared" si="3"/>
        <v>S4-AGO-(21/8/20-27/8/20)</v>
      </c>
      <c r="H59" s="1" t="s">
        <v>61</v>
      </c>
    </row>
    <row r="60" spans="3:10" ht="16" thickBot="1" x14ac:dyDescent="0.25">
      <c r="C60" s="2">
        <f t="shared" si="4"/>
        <v>44071</v>
      </c>
      <c r="D60" s="2">
        <f t="shared" si="5"/>
        <v>44077</v>
      </c>
      <c r="E60" s="1" t="s">
        <v>59</v>
      </c>
      <c r="F60" s="1" t="str">
        <f t="shared" si="2"/>
        <v>-(28/8/20-3/9/20)</v>
      </c>
      <c r="G60" s="1" t="str">
        <f t="shared" si="3"/>
        <v>S5-AGO-(28/8/20-3/9/20)</v>
      </c>
      <c r="H60" s="1" t="s">
        <v>61</v>
      </c>
    </row>
    <row r="61" spans="3:10" ht="16" thickBot="1" x14ac:dyDescent="0.25">
      <c r="C61" s="2">
        <f t="shared" si="4"/>
        <v>44078</v>
      </c>
      <c r="D61" s="2">
        <f t="shared" si="5"/>
        <v>44084</v>
      </c>
      <c r="E61" s="1" t="s">
        <v>23</v>
      </c>
      <c r="F61" s="1" t="str">
        <f t="shared" si="2"/>
        <v>-(4/9/20-10/9/20)</v>
      </c>
      <c r="G61" s="1" t="str">
        <f t="shared" si="3"/>
        <v>S1-SET-(4/9/20-10/9/20)</v>
      </c>
      <c r="H61" s="1" t="s">
        <v>62</v>
      </c>
    </row>
    <row r="62" spans="3:10" ht="16" thickBot="1" x14ac:dyDescent="0.25">
      <c r="C62" s="2">
        <f t="shared" si="4"/>
        <v>44085</v>
      </c>
      <c r="D62" s="2">
        <f t="shared" si="5"/>
        <v>44091</v>
      </c>
      <c r="E62" s="1" t="s">
        <v>22</v>
      </c>
      <c r="F62" s="1" t="str">
        <f t="shared" si="2"/>
        <v>-(11/9/20-17/9/20)</v>
      </c>
      <c r="G62" s="1" t="str">
        <f t="shared" si="3"/>
        <v>S2-SET-(11/9/20-17/9/20)</v>
      </c>
      <c r="H62" s="1" t="s">
        <v>62</v>
      </c>
    </row>
    <row r="63" spans="3:10" ht="16" thickBot="1" x14ac:dyDescent="0.25">
      <c r="C63" s="2">
        <f t="shared" si="4"/>
        <v>44092</v>
      </c>
      <c r="D63" s="2">
        <f t="shared" si="5"/>
        <v>44098</v>
      </c>
      <c r="E63" s="1" t="s">
        <v>21</v>
      </c>
      <c r="F63" s="1" t="str">
        <f t="shared" si="2"/>
        <v>-(18/9/20-24/9/20)</v>
      </c>
      <c r="G63" s="1" t="str">
        <f t="shared" si="3"/>
        <v>S3-SET-(18/9/20-24/9/20)</v>
      </c>
      <c r="H63" s="1" t="s">
        <v>62</v>
      </c>
    </row>
    <row r="64" spans="3:10" ht="16" thickBot="1" x14ac:dyDescent="0.25">
      <c r="C64" s="2">
        <f t="shared" si="4"/>
        <v>44099</v>
      </c>
      <c r="D64" s="2">
        <f t="shared" si="5"/>
        <v>44105</v>
      </c>
      <c r="E64" s="1" t="s">
        <v>20</v>
      </c>
      <c r="F64" s="1" t="str">
        <f t="shared" si="2"/>
        <v>-(25/9/20-1/10/20)</v>
      </c>
      <c r="G64" s="1" t="str">
        <f t="shared" si="3"/>
        <v>S4-SET-(25/9/20-1/10/20)</v>
      </c>
      <c r="H64" s="1" t="s">
        <v>62</v>
      </c>
    </row>
    <row r="65" spans="3:8" ht="16" thickBot="1" x14ac:dyDescent="0.25">
      <c r="C65" s="2">
        <f t="shared" si="4"/>
        <v>44106</v>
      </c>
      <c r="D65" s="2">
        <f t="shared" si="5"/>
        <v>44112</v>
      </c>
      <c r="E65" s="1" t="s">
        <v>15</v>
      </c>
      <c r="F65" s="1" t="str">
        <f t="shared" si="2"/>
        <v>-(2/10/20-8/10/20)</v>
      </c>
      <c r="G65" s="1" t="str">
        <f t="shared" si="3"/>
        <v>S1-OCT-(2/10/20-8/10/20)</v>
      </c>
      <c r="H65" s="1" t="s">
        <v>63</v>
      </c>
    </row>
    <row r="66" spans="3:8" ht="16" thickBot="1" x14ac:dyDescent="0.25">
      <c r="C66" s="2">
        <f t="shared" si="4"/>
        <v>44113</v>
      </c>
      <c r="D66" s="2">
        <f t="shared" si="5"/>
        <v>44119</v>
      </c>
      <c r="E66" s="1" t="s">
        <v>16</v>
      </c>
      <c r="F66" s="1" t="str">
        <f t="shared" si="2"/>
        <v>-(9/10/20-15/10/20)</v>
      </c>
      <c r="G66" s="1" t="str">
        <f t="shared" si="3"/>
        <v>S2-OCT-(9/10/20-15/10/20)</v>
      </c>
      <c r="H66" s="1" t="s">
        <v>63</v>
      </c>
    </row>
    <row r="67" spans="3:8" ht="16" thickBot="1" x14ac:dyDescent="0.25">
      <c r="C67" s="2">
        <f t="shared" si="4"/>
        <v>44120</v>
      </c>
      <c r="D67" s="2">
        <f t="shared" si="5"/>
        <v>44126</v>
      </c>
      <c r="E67" s="1" t="s">
        <v>17</v>
      </c>
      <c r="F67" s="1" t="str">
        <f t="shared" si="2"/>
        <v>-(16/10/20-22/10/20)</v>
      </c>
      <c r="G67" s="1" t="str">
        <f t="shared" si="3"/>
        <v>S3-OCT-(16/10/20-22/10/20)</v>
      </c>
      <c r="H67" s="1" t="s">
        <v>63</v>
      </c>
    </row>
    <row r="68" spans="3:8" ht="16" thickBot="1" x14ac:dyDescent="0.25">
      <c r="C68" s="2">
        <f t="shared" si="4"/>
        <v>44127</v>
      </c>
      <c r="D68" s="2">
        <f t="shared" si="5"/>
        <v>44133</v>
      </c>
      <c r="E68" s="1" t="s">
        <v>18</v>
      </c>
      <c r="F68" s="1" t="str">
        <f t="shared" ref="F68:F77" si="6">"-("&amp;TEXT(C68,"d/m/Y")&amp;"-"&amp;TEXT(D68,"d/m/Y")&amp;")"</f>
        <v>-(23/10/20-29/10/20)</v>
      </c>
      <c r="G68" s="1" t="str">
        <f t="shared" ref="G68:G77" si="7">CONCATENATE(E68,"",F68)</f>
        <v>S4-OCT-(23/10/20-29/10/20)</v>
      </c>
      <c r="H68" s="1" t="s">
        <v>63</v>
      </c>
    </row>
    <row r="69" spans="3:8" ht="16" thickBot="1" x14ac:dyDescent="0.25">
      <c r="C69" s="2">
        <f t="shared" si="4"/>
        <v>44134</v>
      </c>
      <c r="D69" s="2">
        <f t="shared" si="5"/>
        <v>44140</v>
      </c>
      <c r="E69" s="1" t="s">
        <v>7</v>
      </c>
      <c r="F69" s="1" t="str">
        <f t="shared" si="6"/>
        <v>-(30/10/20-5/11/20)</v>
      </c>
      <c r="G69" s="1" t="str">
        <f t="shared" si="7"/>
        <v>S1-NOV-(30/10/20-5/11/20)</v>
      </c>
      <c r="H69" s="1" t="s">
        <v>64</v>
      </c>
    </row>
    <row r="70" spans="3:8" ht="16" thickBot="1" x14ac:dyDescent="0.25">
      <c r="C70" s="2">
        <f t="shared" si="4"/>
        <v>44141</v>
      </c>
      <c r="D70" s="2">
        <f t="shared" si="5"/>
        <v>44147</v>
      </c>
      <c r="E70" s="1" t="s">
        <v>6</v>
      </c>
      <c r="F70" s="1" t="str">
        <f t="shared" si="6"/>
        <v>-(6/11/20-12/11/20)</v>
      </c>
      <c r="G70" s="1" t="str">
        <f t="shared" si="7"/>
        <v>S2-NOV-(6/11/20-12/11/20)</v>
      </c>
      <c r="H70" s="1" t="s">
        <v>64</v>
      </c>
    </row>
    <row r="71" spans="3:8" ht="16" thickBot="1" x14ac:dyDescent="0.25">
      <c r="C71" s="2">
        <f t="shared" si="4"/>
        <v>44148</v>
      </c>
      <c r="D71" s="2">
        <f t="shared" si="5"/>
        <v>44154</v>
      </c>
      <c r="E71" s="1" t="s">
        <v>8</v>
      </c>
      <c r="F71" s="1" t="str">
        <f t="shared" si="6"/>
        <v>-(13/11/20-19/11/20)</v>
      </c>
      <c r="G71" s="1" t="str">
        <f t="shared" si="7"/>
        <v>S3-NOV-(13/11/20-19/11/20)</v>
      </c>
      <c r="H71" s="1" t="s">
        <v>64</v>
      </c>
    </row>
    <row r="72" spans="3:8" ht="16" thickBot="1" x14ac:dyDescent="0.25">
      <c r="C72" s="2">
        <f t="shared" si="4"/>
        <v>44155</v>
      </c>
      <c r="D72" s="2">
        <f t="shared" si="5"/>
        <v>44161</v>
      </c>
      <c r="E72" s="1" t="s">
        <v>9</v>
      </c>
      <c r="F72" s="1" t="str">
        <f t="shared" si="6"/>
        <v>-(20/11/20-26/11/20)</v>
      </c>
      <c r="G72" s="1" t="str">
        <f t="shared" si="7"/>
        <v>S4-NOV-(20/11/20-26/11/20)</v>
      </c>
      <c r="H72" s="1" t="s">
        <v>64</v>
      </c>
    </row>
    <row r="73" spans="3:8" ht="16" thickBot="1" x14ac:dyDescent="0.25">
      <c r="C73" s="2">
        <f t="shared" si="4"/>
        <v>44162</v>
      </c>
      <c r="D73" s="2">
        <f t="shared" si="5"/>
        <v>44168</v>
      </c>
      <c r="E73" s="1" t="s">
        <v>60</v>
      </c>
      <c r="F73" s="1" t="str">
        <f t="shared" si="6"/>
        <v>-(27/11/20-3/12/20)</v>
      </c>
      <c r="G73" s="1" t="str">
        <f t="shared" si="7"/>
        <v>S5-NOV-(27/11/20-3/12/20)</v>
      </c>
      <c r="H73" s="1" t="s">
        <v>64</v>
      </c>
    </row>
    <row r="74" spans="3:8" ht="16" thickBot="1" x14ac:dyDescent="0.25">
      <c r="C74" s="2">
        <f>+D73+1</f>
        <v>44169</v>
      </c>
      <c r="D74" s="2">
        <f>+C74+6</f>
        <v>44175</v>
      </c>
      <c r="E74" s="1" t="s">
        <v>10</v>
      </c>
      <c r="F74" s="1" t="str">
        <f t="shared" si="6"/>
        <v>-(4/12/20-10/12/20)</v>
      </c>
      <c r="G74" s="1" t="str">
        <f t="shared" si="7"/>
        <v>S1-DIC-(4/12/20-10/12/20)</v>
      </c>
      <c r="H74" s="1" t="s">
        <v>65</v>
      </c>
    </row>
    <row r="75" spans="3:8" ht="16" thickBot="1" x14ac:dyDescent="0.25">
      <c r="C75" s="2">
        <f>+D74+1</f>
        <v>44176</v>
      </c>
      <c r="D75" s="2">
        <f>+C75+6</f>
        <v>44182</v>
      </c>
      <c r="E75" s="1" t="s">
        <v>11</v>
      </c>
      <c r="F75" s="1" t="str">
        <f t="shared" si="6"/>
        <v>-(11/12/20-17/12/20)</v>
      </c>
      <c r="G75" s="1" t="str">
        <f t="shared" si="7"/>
        <v>S2-DIC-(11/12/20-17/12/20)</v>
      </c>
      <c r="H75" s="1" t="s">
        <v>65</v>
      </c>
    </row>
    <row r="76" spans="3:8" ht="16" thickBot="1" x14ac:dyDescent="0.25">
      <c r="C76" s="2">
        <f>+D75+1</f>
        <v>44183</v>
      </c>
      <c r="D76" s="2">
        <f>+C76+6</f>
        <v>44189</v>
      </c>
      <c r="E76" s="1" t="s">
        <v>12</v>
      </c>
      <c r="F76" s="1" t="str">
        <f t="shared" si="6"/>
        <v>-(18/12/20-24/12/20)</v>
      </c>
      <c r="G76" s="1" t="str">
        <f t="shared" si="7"/>
        <v>S3-DIC-(18/12/20-24/12/20)</v>
      </c>
      <c r="H76" s="1" t="s">
        <v>65</v>
      </c>
    </row>
    <row r="77" spans="3:8" x14ac:dyDescent="0.2">
      <c r="C77" s="2">
        <f>+D76+1</f>
        <v>44190</v>
      </c>
      <c r="D77" s="2">
        <f>+C77+6</f>
        <v>44196</v>
      </c>
      <c r="E77" s="1" t="s">
        <v>13</v>
      </c>
      <c r="F77" s="1" t="str">
        <f t="shared" si="6"/>
        <v>-(25/12/20-31/12/20)</v>
      </c>
      <c r="G77" s="1" t="str">
        <f t="shared" si="7"/>
        <v>S4-DIC-(25/12/20-31/12/20)</v>
      </c>
      <c r="H77" s="1" t="s">
        <v>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65D904-D99A-402B-A444-2BCB05FBBA90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BD</vt:lpstr>
      <vt:lpstr>EN CASO ERROR</vt:lpstr>
      <vt:lpstr>CONTROL DE VOLQUETES</vt:lpstr>
      <vt:lpstr>SEMANA FECHAS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Cieza</dc:creator>
  <cp:lastModifiedBy>Milton Otiniano</cp:lastModifiedBy>
  <dcterms:created xsi:type="dcterms:W3CDTF">2019-11-08T05:21:12Z</dcterms:created>
  <dcterms:modified xsi:type="dcterms:W3CDTF">2020-09-19T05:42:05Z</dcterms:modified>
</cp:coreProperties>
</file>